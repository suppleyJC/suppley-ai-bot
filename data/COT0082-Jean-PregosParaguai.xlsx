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theus.moreira\Desktop\Tributário - Planilhas\COT0082\"/>
    </mc:Choice>
  </mc:AlternateContent>
  <xr:revisionPtr revIDLastSave="0" documentId="13_ncr:1_{E91D76C3-93F0-4799-BA93-3DFD5643BB62}" xr6:coauthVersionLast="47" xr6:coauthVersionMax="47" xr10:uidLastSave="{00000000-0000-0000-0000-000000000000}"/>
  <bookViews>
    <workbookView xWindow="-96" yWindow="-96" windowWidth="23232" windowHeight="13872" tabRatio="840" activeTab="2" xr2:uid="{00000000-000D-0000-FFFF-FFFF00000000}"/>
  </bookViews>
  <sheets>
    <sheet name="INVOICE" sheetId="11" r:id="rId1"/>
    <sheet name="CUSTO MERCADORIA - IMP. PRÓPRIA" sheetId="34" r:id="rId2"/>
    <sheet name="EST. DE CUSTO - IMP. PRÓPRIA" sheetId="35" r:id="rId3"/>
  </sheets>
  <definedNames>
    <definedName name="_xlnm._FilterDatabase" localSheetId="1" hidden="1">'CUSTO MERCADORIA - IMP. PRÓPRIA'!$A$26:$BC$38</definedName>
    <definedName name="CAMBIO_DOLAR">#REF!</definedName>
    <definedName name="CFR_REAL">#REF!</definedName>
    <definedName name="FOB_DOLAR">#REF!</definedName>
    <definedName name="FOB_REAL">#REF!</definedName>
    <definedName name="FRETE_INTERNACIONAL_DOL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4" l="1"/>
  <c r="H22" i="35"/>
  <c r="G22" i="35"/>
  <c r="D28" i="34"/>
  <c r="D29" i="34"/>
  <c r="D30" i="34"/>
  <c r="D31" i="34"/>
  <c r="D32" i="34"/>
  <c r="D33" i="34"/>
  <c r="D34" i="34"/>
  <c r="D35" i="34"/>
  <c r="D36" i="34"/>
  <c r="D37" i="34"/>
  <c r="D27" i="34"/>
  <c r="I4" i="11"/>
  <c r="I5" i="11"/>
  <c r="I6" i="11"/>
  <c r="I7" i="11"/>
  <c r="I8" i="11"/>
  <c r="I9" i="11"/>
  <c r="I10" i="11"/>
  <c r="I11" i="11"/>
  <c r="I12" i="11"/>
  <c r="I13" i="11"/>
  <c r="I3" i="11"/>
  <c r="H15" i="11"/>
  <c r="H13" i="11"/>
  <c r="H12" i="11"/>
  <c r="H11" i="11"/>
  <c r="H10" i="11"/>
  <c r="H9" i="11"/>
  <c r="H8" i="11"/>
  <c r="H7" i="11"/>
  <c r="H6" i="11"/>
  <c r="H5" i="11"/>
  <c r="H4" i="11"/>
  <c r="H3" i="11"/>
  <c r="D14" i="11"/>
  <c r="G3" i="11"/>
  <c r="I28" i="34" l="1"/>
  <c r="K5" i="11"/>
  <c r="L5" i="11" s="1"/>
  <c r="J6" i="11"/>
  <c r="J7" i="11"/>
  <c r="I32" i="34"/>
  <c r="J9" i="11"/>
  <c r="I34" i="34"/>
  <c r="K11" i="11"/>
  <c r="L11" i="11" s="1"/>
  <c r="J12" i="11"/>
  <c r="I37" i="34"/>
  <c r="I27" i="34"/>
  <c r="J4" i="11"/>
  <c r="K4" i="11"/>
  <c r="L4" i="11" s="1"/>
  <c r="K3" i="11"/>
  <c r="L3" i="11" s="1"/>
  <c r="J3" i="11"/>
  <c r="J5" i="11" l="1"/>
  <c r="J11" i="11"/>
  <c r="I33" i="34"/>
  <c r="K10" i="11"/>
  <c r="L10" i="11" s="1"/>
  <c r="J10" i="11"/>
  <c r="K8" i="11"/>
  <c r="L8" i="11" s="1"/>
  <c r="J8" i="11"/>
  <c r="I31" i="34"/>
  <c r="I36" i="34"/>
  <c r="I35" i="34"/>
  <c r="K13" i="11"/>
  <c r="L13" i="11" s="1"/>
  <c r="I30" i="34"/>
  <c r="J13" i="11"/>
  <c r="I29" i="34"/>
  <c r="K7" i="11"/>
  <c r="L7" i="11" s="1"/>
  <c r="K12" i="11"/>
  <c r="L12" i="11" s="1"/>
  <c r="K9" i="11"/>
  <c r="L9" i="11" s="1"/>
  <c r="K6" i="11"/>
  <c r="L6" i="11" s="1"/>
  <c r="J15" i="11" l="1"/>
  <c r="D6" i="34" s="1"/>
  <c r="L15" i="11"/>
  <c r="E23" i="34" s="1"/>
  <c r="H51" i="35" s="1"/>
  <c r="H71" i="35"/>
  <c r="K29" i="34"/>
  <c r="K30" i="34"/>
  <c r="K31" i="34"/>
  <c r="K32" i="34"/>
  <c r="K33" i="34"/>
  <c r="K34" i="34"/>
  <c r="K35" i="34"/>
  <c r="K37" i="34"/>
  <c r="K27" i="34"/>
  <c r="H35" i="35"/>
  <c r="H50" i="35"/>
  <c r="G20" i="35"/>
  <c r="G7" i="11"/>
  <c r="G5" i="11"/>
  <c r="G4" i="11"/>
  <c r="D78" i="35"/>
  <c r="I78" i="35"/>
  <c r="D79" i="35"/>
  <c r="I79" i="35"/>
  <c r="D80" i="35"/>
  <c r="I80" i="35"/>
  <c r="D81" i="35"/>
  <c r="I81" i="35"/>
  <c r="D82" i="35"/>
  <c r="I82" i="35"/>
  <c r="D83" i="35"/>
  <c r="I83" i="35"/>
  <c r="D84" i="35"/>
  <c r="I84" i="35"/>
  <c r="D85" i="35"/>
  <c r="I85" i="35"/>
  <c r="D86" i="35"/>
  <c r="I86" i="35"/>
  <c r="D87" i="35"/>
  <c r="I87" i="35"/>
  <c r="B78" i="35"/>
  <c r="E28" i="34"/>
  <c r="J28" i="34" s="1"/>
  <c r="G28" i="34"/>
  <c r="C78" i="35" s="1"/>
  <c r="H28" i="34"/>
  <c r="AW28" i="34"/>
  <c r="B79" i="35"/>
  <c r="E29" i="34"/>
  <c r="E79" i="35" s="1"/>
  <c r="G29" i="34"/>
  <c r="C79" i="35" s="1"/>
  <c r="H29" i="34"/>
  <c r="AW29" i="34"/>
  <c r="B80" i="35"/>
  <c r="E30" i="34"/>
  <c r="J30" i="34" s="1"/>
  <c r="G30" i="34"/>
  <c r="C80" i="35" s="1"/>
  <c r="H30" i="34"/>
  <c r="AW30" i="34"/>
  <c r="B81" i="35"/>
  <c r="E31" i="34"/>
  <c r="J31" i="34" s="1"/>
  <c r="G31" i="34"/>
  <c r="C81" i="35" s="1"/>
  <c r="H31" i="34"/>
  <c r="AW31" i="34"/>
  <c r="B82" i="35"/>
  <c r="E32" i="34"/>
  <c r="E82" i="35" s="1"/>
  <c r="G32" i="34"/>
  <c r="C82" i="35" s="1"/>
  <c r="H32" i="34"/>
  <c r="AW32" i="34"/>
  <c r="B83" i="35"/>
  <c r="E33" i="34"/>
  <c r="E83" i="35" s="1"/>
  <c r="G33" i="34"/>
  <c r="C83" i="35" s="1"/>
  <c r="H33" i="34"/>
  <c r="AW33" i="34"/>
  <c r="B84" i="35"/>
  <c r="E34" i="34"/>
  <c r="J34" i="34" s="1"/>
  <c r="M34" i="34" s="1"/>
  <c r="G34" i="34"/>
  <c r="C84" i="35" s="1"/>
  <c r="H34" i="34"/>
  <c r="AW34" i="34"/>
  <c r="B85" i="35"/>
  <c r="E35" i="34"/>
  <c r="E85" i="35" s="1"/>
  <c r="G35" i="34"/>
  <c r="C85" i="35" s="1"/>
  <c r="H35" i="34"/>
  <c r="AW35" i="34"/>
  <c r="B86" i="35"/>
  <c r="E36" i="34"/>
  <c r="E86" i="35" s="1"/>
  <c r="G36" i="34"/>
  <c r="C86" i="35" s="1"/>
  <c r="H36" i="34"/>
  <c r="AW36" i="34"/>
  <c r="B87" i="35"/>
  <c r="E37" i="34"/>
  <c r="J37" i="34" s="1"/>
  <c r="G37" i="34"/>
  <c r="C87" i="35" s="1"/>
  <c r="H37" i="34"/>
  <c r="AW37" i="34"/>
  <c r="E27" i="34"/>
  <c r="G6" i="11"/>
  <c r="G8" i="11"/>
  <c r="G9" i="11"/>
  <c r="G10" i="11"/>
  <c r="G11" i="11"/>
  <c r="G12" i="11"/>
  <c r="G13" i="11"/>
  <c r="H27" i="34"/>
  <c r="G27" i="34"/>
  <c r="W38" i="34"/>
  <c r="AZ38" i="34"/>
  <c r="BD38" i="34"/>
  <c r="I77" i="35"/>
  <c r="D77" i="35"/>
  <c r="F67" i="35"/>
  <c r="H68" i="35" s="1"/>
  <c r="H38" i="35"/>
  <c r="H37" i="35"/>
  <c r="H36" i="35"/>
  <c r="H34" i="35"/>
  <c r="H30" i="35"/>
  <c r="G21" i="35"/>
  <c r="C16" i="35"/>
  <c r="AW27" i="34"/>
  <c r="E8" i="34"/>
  <c r="H52" i="35" l="1"/>
  <c r="K36" i="34"/>
  <c r="J33" i="34"/>
  <c r="M33" i="34" s="1"/>
  <c r="E38" i="34"/>
  <c r="K28" i="34"/>
  <c r="K38" i="34" s="1"/>
  <c r="H6" i="34" s="1"/>
  <c r="J29" i="34"/>
  <c r="M29" i="34" s="1"/>
  <c r="E78" i="35"/>
  <c r="E87" i="35"/>
  <c r="E84" i="35"/>
  <c r="E81" i="35"/>
  <c r="E80" i="35"/>
  <c r="E19" i="34"/>
  <c r="AU30" i="34"/>
  <c r="AU37" i="34"/>
  <c r="AU35" i="34"/>
  <c r="AU33" i="34"/>
  <c r="AU36" i="34"/>
  <c r="AU34" i="34"/>
  <c r="M31" i="34"/>
  <c r="M30" i="34"/>
  <c r="M28" i="34"/>
  <c r="J32" i="34"/>
  <c r="M32" i="34" s="1"/>
  <c r="J36" i="34"/>
  <c r="M36" i="34" s="1"/>
  <c r="J35" i="34"/>
  <c r="M37" i="34"/>
  <c r="E7" i="34"/>
  <c r="AU27" i="34"/>
  <c r="H20" i="35"/>
  <c r="H21" i="35"/>
  <c r="I88" i="35"/>
  <c r="J27" i="34"/>
  <c r="B77" i="35"/>
  <c r="E77" i="35"/>
  <c r="C77" i="35"/>
  <c r="L31" i="34" l="1"/>
  <c r="L32" i="34"/>
  <c r="L37" i="34"/>
  <c r="L33" i="34"/>
  <c r="L28" i="34"/>
  <c r="L35" i="34"/>
  <c r="O35" i="34" s="1"/>
  <c r="L34" i="34"/>
  <c r="L30" i="34"/>
  <c r="L29" i="34"/>
  <c r="L36" i="34"/>
  <c r="L27" i="34"/>
  <c r="AU31" i="34"/>
  <c r="AU28" i="34"/>
  <c r="AU29" i="34"/>
  <c r="AU32" i="34"/>
  <c r="M35" i="34"/>
  <c r="G15" i="11"/>
  <c r="M27" i="34"/>
  <c r="H39" i="35" l="1"/>
  <c r="H40" i="35" s="1"/>
  <c r="T35" i="34"/>
  <c r="T30" i="34"/>
  <c r="T28" i="34"/>
  <c r="T31" i="34"/>
  <c r="N35" i="34"/>
  <c r="U35" i="34"/>
  <c r="X35" i="34"/>
  <c r="P35" i="34"/>
  <c r="R35" i="34" s="1"/>
  <c r="T27" i="34"/>
  <c r="E88" i="35"/>
  <c r="G69" i="11"/>
  <c r="G19" i="35" s="1"/>
  <c r="H19" i="35" s="1"/>
  <c r="M38" i="34"/>
  <c r="J38" i="34"/>
  <c r="E6" i="34"/>
  <c r="E9" i="34" s="1"/>
  <c r="D9" i="34"/>
  <c r="AK35" i="34" l="1"/>
  <c r="Z35" i="34"/>
  <c r="AD35" i="34" s="1"/>
  <c r="AF35" i="34" s="1"/>
  <c r="AH35" i="34"/>
  <c r="AJ35" i="34"/>
  <c r="Q35" i="34"/>
  <c r="AA35" i="34"/>
  <c r="AB35" i="34" s="1"/>
  <c r="N31" i="34"/>
  <c r="P31" i="34"/>
  <c r="U31" i="34"/>
  <c r="X31" i="34"/>
  <c r="O31" i="34"/>
  <c r="U37" i="34"/>
  <c r="X37" i="34"/>
  <c r="P37" i="34"/>
  <c r="N37" i="34"/>
  <c r="O37" i="34"/>
  <c r="N32" i="34"/>
  <c r="O32" i="34"/>
  <c r="P32" i="34"/>
  <c r="U32" i="34"/>
  <c r="T32" i="34"/>
  <c r="X32" i="34"/>
  <c r="N29" i="34"/>
  <c r="T29" i="34"/>
  <c r="U29" i="34"/>
  <c r="X29" i="34"/>
  <c r="O29" i="34"/>
  <c r="P29" i="34"/>
  <c r="P28" i="34"/>
  <c r="N28" i="34"/>
  <c r="X28" i="34"/>
  <c r="U28" i="34"/>
  <c r="O28" i="34"/>
  <c r="O34" i="34"/>
  <c r="U34" i="34"/>
  <c r="X34" i="34"/>
  <c r="P34" i="34"/>
  <c r="N34" i="34"/>
  <c r="T37" i="34"/>
  <c r="T34" i="34"/>
  <c r="N33" i="34"/>
  <c r="X33" i="34"/>
  <c r="U33" i="34"/>
  <c r="T33" i="34"/>
  <c r="O33" i="34"/>
  <c r="P33" i="34"/>
  <c r="U36" i="34"/>
  <c r="X36" i="34"/>
  <c r="O36" i="34"/>
  <c r="P36" i="34"/>
  <c r="N36" i="34"/>
  <c r="T36" i="34"/>
  <c r="P30" i="34"/>
  <c r="N30" i="34"/>
  <c r="U30" i="34"/>
  <c r="X30" i="34"/>
  <c r="O30" i="34"/>
  <c r="O27" i="34"/>
  <c r="X27" i="34"/>
  <c r="N27" i="34"/>
  <c r="Q27" i="34" s="1"/>
  <c r="P27" i="34"/>
  <c r="L38" i="34"/>
  <c r="U27" i="34"/>
  <c r="H43" i="35"/>
  <c r="R37" i="34" l="1"/>
  <c r="AH37" i="34" s="1"/>
  <c r="R30" i="34"/>
  <c r="AK30" i="34" s="1"/>
  <c r="R31" i="34"/>
  <c r="Z31" i="34" s="1"/>
  <c r="AD31" i="34" s="1"/>
  <c r="AF31" i="34" s="1"/>
  <c r="R34" i="34"/>
  <c r="AH34" i="34" s="1"/>
  <c r="R28" i="34"/>
  <c r="Z28" i="34" s="1"/>
  <c r="AD28" i="34" s="1"/>
  <c r="AF28" i="34" s="1"/>
  <c r="AL35" i="34"/>
  <c r="AN35" i="34" s="1"/>
  <c r="AO35" i="34" s="1"/>
  <c r="AA28" i="34"/>
  <c r="AB28" i="34" s="1"/>
  <c r="Q28" i="34"/>
  <c r="Q36" i="34"/>
  <c r="AA36" i="34"/>
  <c r="AB36" i="34" s="1"/>
  <c r="Q37" i="34"/>
  <c r="AA37" i="34"/>
  <c r="AB37" i="34" s="1"/>
  <c r="AA31" i="34"/>
  <c r="AB31" i="34" s="1"/>
  <c r="Q31" i="34"/>
  <c r="R36" i="34"/>
  <c r="AA34" i="34"/>
  <c r="AB34" i="34" s="1"/>
  <c r="Q34" i="34"/>
  <c r="R33" i="34"/>
  <c r="R32" i="34"/>
  <c r="Q33" i="34"/>
  <c r="AA33" i="34"/>
  <c r="AB33" i="34" s="1"/>
  <c r="Q30" i="34"/>
  <c r="AA30" i="34"/>
  <c r="AB30" i="34" s="1"/>
  <c r="AA29" i="34"/>
  <c r="AB29" i="34" s="1"/>
  <c r="Q29" i="34"/>
  <c r="Q32" i="34"/>
  <c r="AA32" i="34"/>
  <c r="AB32" i="34" s="1"/>
  <c r="R29" i="34"/>
  <c r="R27" i="34"/>
  <c r="Z27" i="34" s="1"/>
  <c r="AA27" i="34"/>
  <c r="AB27" i="34" s="1"/>
  <c r="X38" i="34"/>
  <c r="N38" i="34"/>
  <c r="P38" i="34"/>
  <c r="T38" i="34"/>
  <c r="U38" i="34"/>
  <c r="O38" i="34"/>
  <c r="AJ30" i="34" l="1"/>
  <c r="AJ37" i="34"/>
  <c r="AK37" i="34"/>
  <c r="Z37" i="34"/>
  <c r="AD37" i="34" s="1"/>
  <c r="AF37" i="34" s="1"/>
  <c r="AJ28" i="34"/>
  <c r="AK31" i="34"/>
  <c r="AK28" i="34"/>
  <c r="AJ31" i="34"/>
  <c r="AH31" i="34"/>
  <c r="AH30" i="34"/>
  <c r="Z30" i="34"/>
  <c r="AD30" i="34" s="1"/>
  <c r="AF30" i="34" s="1"/>
  <c r="AH28" i="34"/>
  <c r="AK34" i="34"/>
  <c r="Z34" i="34"/>
  <c r="AD34" i="34" s="1"/>
  <c r="AF34" i="34" s="1"/>
  <c r="AJ34" i="34"/>
  <c r="AK36" i="34"/>
  <c r="Z36" i="34"/>
  <c r="AD36" i="34" s="1"/>
  <c r="AF36" i="34" s="1"/>
  <c r="AJ36" i="34"/>
  <c r="AH36" i="34"/>
  <c r="AP35" i="34"/>
  <c r="AR35" i="34"/>
  <c r="AS35" i="34" s="1"/>
  <c r="AJ29" i="34"/>
  <c r="AK29" i="34"/>
  <c r="Z29" i="34"/>
  <c r="AH29" i="34"/>
  <c r="AH33" i="34"/>
  <c r="Z33" i="34"/>
  <c r="AD33" i="34" s="1"/>
  <c r="AF33" i="34" s="1"/>
  <c r="AJ33" i="34"/>
  <c r="AK33" i="34"/>
  <c r="AH32" i="34"/>
  <c r="Z32" i="34"/>
  <c r="AJ32" i="34"/>
  <c r="AK32" i="34"/>
  <c r="AJ27" i="34"/>
  <c r="R38" i="34"/>
  <c r="AH27" i="34"/>
  <c r="AK27" i="34"/>
  <c r="Q38" i="34"/>
  <c r="AD27" i="34"/>
  <c r="AL31" i="34" l="1"/>
  <c r="AN31" i="34" s="1"/>
  <c r="AO31" i="34" s="1"/>
  <c r="AP31" i="34" s="1"/>
  <c r="AL28" i="34"/>
  <c r="AN28" i="34" s="1"/>
  <c r="AO28" i="34" s="1"/>
  <c r="AR28" i="34" s="1"/>
  <c r="AS28" i="34" s="1"/>
  <c r="AL37" i="34"/>
  <c r="AN37" i="34" s="1"/>
  <c r="AO37" i="34" s="1"/>
  <c r="AP37" i="34" s="1"/>
  <c r="AL30" i="34"/>
  <c r="AN30" i="34" s="1"/>
  <c r="AO30" i="34" s="1"/>
  <c r="AR30" i="34" s="1"/>
  <c r="AS30" i="34" s="1"/>
  <c r="AL36" i="34"/>
  <c r="AN36" i="34" s="1"/>
  <c r="AO36" i="34" s="1"/>
  <c r="AP36" i="34" s="1"/>
  <c r="AL34" i="34"/>
  <c r="AN34" i="34" s="1"/>
  <c r="AO34" i="34" s="1"/>
  <c r="AR34" i="34" s="1"/>
  <c r="AS34" i="34" s="1"/>
  <c r="AL33" i="34"/>
  <c r="AN33" i="34" s="1"/>
  <c r="AO33" i="34" s="1"/>
  <c r="AD29" i="34"/>
  <c r="AF29" i="34" s="1"/>
  <c r="AL29" i="34" s="1"/>
  <c r="AN29" i="34" s="1"/>
  <c r="AO29" i="34" s="1"/>
  <c r="AD32" i="34"/>
  <c r="AF32" i="34" s="1"/>
  <c r="AL32" i="34" s="1"/>
  <c r="AN32" i="34" s="1"/>
  <c r="AO32" i="34" s="1"/>
  <c r="AV35" i="34"/>
  <c r="F85" i="35" s="1"/>
  <c r="AT35" i="34"/>
  <c r="AJ38" i="34"/>
  <c r="H28" i="35" s="1"/>
  <c r="AK38" i="34"/>
  <c r="H56" i="35" s="1"/>
  <c r="AH38" i="34"/>
  <c r="H27" i="35" s="1"/>
  <c r="H55" i="35" s="1"/>
  <c r="Z38" i="34"/>
  <c r="H25" i="35" s="1"/>
  <c r="H44" i="35" s="1"/>
  <c r="AF27" i="34"/>
  <c r="AR31" i="34" l="1"/>
  <c r="AP28" i="34"/>
  <c r="G85" i="35"/>
  <c r="AP34" i="34"/>
  <c r="AP30" i="34"/>
  <c r="AR36" i="34"/>
  <c r="AR37" i="34"/>
  <c r="AT34" i="34"/>
  <c r="AV34" i="34"/>
  <c r="F84" i="35" s="1"/>
  <c r="AF38" i="34"/>
  <c r="H26" i="35" s="1"/>
  <c r="AP32" i="34"/>
  <c r="AR32" i="34"/>
  <c r="AS32" i="34" s="1"/>
  <c r="AT30" i="34"/>
  <c r="AV30" i="34"/>
  <c r="F80" i="35" s="1"/>
  <c r="AT28" i="34"/>
  <c r="AV28" i="34"/>
  <c r="F78" i="35" s="1"/>
  <c r="AR33" i="34"/>
  <c r="AS33" i="34" s="1"/>
  <c r="AP33" i="34"/>
  <c r="AR29" i="34"/>
  <c r="AS29" i="34" s="1"/>
  <c r="AP29" i="34"/>
  <c r="AD38" i="34"/>
  <c r="AX35" i="34"/>
  <c r="AY35" i="34"/>
  <c r="H85" i="35" s="1"/>
  <c r="J85" i="35" s="1"/>
  <c r="K85" i="35" s="1"/>
  <c r="L85" i="35" s="1"/>
  <c r="AL27" i="34"/>
  <c r="AL38" i="34" s="1"/>
  <c r="AS31" i="34" l="1"/>
  <c r="AV31" i="34" s="1"/>
  <c r="F81" i="35" s="1"/>
  <c r="G81" i="35" s="1"/>
  <c r="AS37" i="34"/>
  <c r="AT37" i="34" s="1"/>
  <c r="AS36" i="34"/>
  <c r="AV36" i="34" s="1"/>
  <c r="AX36" i="34" s="1"/>
  <c r="G80" i="35"/>
  <c r="G84" i="35"/>
  <c r="BA35" i="34"/>
  <c r="BB35" i="34" s="1"/>
  <c r="G78" i="35"/>
  <c r="AX34" i="34"/>
  <c r="AY34" i="34"/>
  <c r="AY30" i="34"/>
  <c r="AX30" i="34"/>
  <c r="AY28" i="34"/>
  <c r="AX28" i="34"/>
  <c r="AV33" i="34"/>
  <c r="F83" i="35" s="1"/>
  <c r="AT33" i="34"/>
  <c r="AT29" i="34"/>
  <c r="AV29" i="34"/>
  <c r="F79" i="35" s="1"/>
  <c r="G79" i="35" s="1"/>
  <c r="AV32" i="34"/>
  <c r="F82" i="35" s="1"/>
  <c r="AT32" i="34"/>
  <c r="H45" i="35"/>
  <c r="H57" i="35"/>
  <c r="AN27" i="34"/>
  <c r="AN38" i="34" s="1"/>
  <c r="AT36" i="34" l="1"/>
  <c r="AV37" i="34"/>
  <c r="AT31" i="34"/>
  <c r="AY31" i="34"/>
  <c r="BA31" i="34" s="1"/>
  <c r="BB31" i="34" s="1"/>
  <c r="AX31" i="34"/>
  <c r="BE35" i="34"/>
  <c r="BA28" i="34"/>
  <c r="BB28" i="34" s="1"/>
  <c r="H78" i="35"/>
  <c r="J78" i="35" s="1"/>
  <c r="K78" i="35" s="1"/>
  <c r="L78" i="35" s="1"/>
  <c r="BA30" i="34"/>
  <c r="BE30" i="34" s="1"/>
  <c r="H80" i="35"/>
  <c r="J80" i="35" s="1"/>
  <c r="K80" i="35" s="1"/>
  <c r="L80" i="35" s="1"/>
  <c r="G83" i="35"/>
  <c r="BA34" i="34"/>
  <c r="BB34" i="34" s="1"/>
  <c r="H84" i="35"/>
  <c r="J84" i="35" s="1"/>
  <c r="K84" i="35" s="1"/>
  <c r="L84" i="35" s="1"/>
  <c r="G82" i="35"/>
  <c r="AY36" i="34"/>
  <c r="F86" i="35"/>
  <c r="AX29" i="34"/>
  <c r="AY29" i="34"/>
  <c r="AY32" i="34"/>
  <c r="H82" i="35" s="1"/>
  <c r="J82" i="35" s="1"/>
  <c r="K82" i="35" s="1"/>
  <c r="L82" i="35" s="1"/>
  <c r="AX32" i="34"/>
  <c r="AX33" i="34"/>
  <c r="AY33" i="34"/>
  <c r="H83" i="35" s="1"/>
  <c r="J83" i="35" s="1"/>
  <c r="K83" i="35" s="1"/>
  <c r="L83" i="35" s="1"/>
  <c r="H29" i="35"/>
  <c r="H31" i="35" s="1"/>
  <c r="AO27" i="34"/>
  <c r="AO38" i="34" s="1"/>
  <c r="H81" i="35" l="1"/>
  <c r="J81" i="35" s="1"/>
  <c r="K81" i="35" s="1"/>
  <c r="L81" i="35" s="1"/>
  <c r="F87" i="35"/>
  <c r="G87" i="35" s="1"/>
  <c r="AY37" i="34"/>
  <c r="H87" i="35" s="1"/>
  <c r="AX37" i="34"/>
  <c r="BB30" i="34"/>
  <c r="BA33" i="34"/>
  <c r="BE33" i="34" s="1"/>
  <c r="BF35" i="34"/>
  <c r="BF30" i="34"/>
  <c r="BE31" i="34"/>
  <c r="BA32" i="34"/>
  <c r="BB32" i="34" s="1"/>
  <c r="G86" i="35"/>
  <c r="BA36" i="34"/>
  <c r="H86" i="35"/>
  <c r="J86" i="35" s="1"/>
  <c r="K86" i="35" s="1"/>
  <c r="L86" i="35" s="1"/>
  <c r="BA29" i="34"/>
  <c r="BE29" i="34" s="1"/>
  <c r="H79" i="35"/>
  <c r="J79" i="35" s="1"/>
  <c r="K79" i="35" s="1"/>
  <c r="L79" i="35" s="1"/>
  <c r="BE28" i="34"/>
  <c r="BE34" i="34"/>
  <c r="AP27" i="34"/>
  <c r="AR27" i="34"/>
  <c r="H58" i="35"/>
  <c r="H59" i="35" s="1"/>
  <c r="H46" i="35"/>
  <c r="H47" i="35" s="1"/>
  <c r="J87" i="35" l="1"/>
  <c r="K87" i="35" s="1"/>
  <c r="L87" i="35" s="1"/>
  <c r="BA37" i="34"/>
  <c r="BE37" i="34" s="1"/>
  <c r="BF37" i="34" s="1"/>
  <c r="AR38" i="34"/>
  <c r="AS27" i="34"/>
  <c r="AS38" i="34" s="1"/>
  <c r="BB33" i="34"/>
  <c r="BE32" i="34"/>
  <c r="BF32" i="34" s="1"/>
  <c r="BF33" i="34"/>
  <c r="BF31" i="34"/>
  <c r="BF34" i="34"/>
  <c r="BF28" i="34"/>
  <c r="BF29" i="34"/>
  <c r="BB29" i="34"/>
  <c r="BB36" i="34"/>
  <c r="BE36" i="34"/>
  <c r="H60" i="35"/>
  <c r="H69" i="35" s="1"/>
  <c r="BB37" i="34" l="1"/>
  <c r="H64" i="35"/>
  <c r="H63" i="35"/>
  <c r="H67" i="35"/>
  <c r="K65" i="35" s="1"/>
  <c r="H66" i="35"/>
  <c r="H65" i="35"/>
  <c r="O64" i="35"/>
  <c r="K63" i="35"/>
  <c r="O63" i="35" s="1"/>
  <c r="BF36" i="34"/>
  <c r="AV27" i="34"/>
  <c r="AV38" i="34" s="1"/>
  <c r="AT27" i="34"/>
  <c r="O65" i="35" l="1"/>
  <c r="K64" i="35"/>
  <c r="K66" i="35" s="1"/>
  <c r="F77" i="35"/>
  <c r="AY27" i="34"/>
  <c r="AY38" i="34" s="1"/>
  <c r="H70" i="35" s="1"/>
  <c r="H72" i="35" s="1"/>
  <c r="AX27" i="34"/>
  <c r="AX38" i="34" s="1"/>
  <c r="H77" i="35" l="1"/>
  <c r="H88" i="35" s="1"/>
  <c r="BA27" i="34"/>
  <c r="BA38" i="34" s="1"/>
  <c r="F88" i="35"/>
  <c r="G77" i="35"/>
  <c r="J77" i="35" l="1"/>
  <c r="J88" i="35" s="1"/>
  <c r="BB27" i="34"/>
  <c r="BE27" i="34"/>
  <c r="BE38" i="34" s="1"/>
  <c r="K77" i="35" l="1"/>
  <c r="L77" i="35" s="1"/>
  <c r="BF27" i="34"/>
</calcChain>
</file>

<file path=xl/sharedStrings.xml><?xml version="1.0" encoding="utf-8"?>
<sst xmlns="http://schemas.openxmlformats.org/spreadsheetml/2006/main" count="230" uniqueCount="177">
  <si>
    <t>NCM</t>
  </si>
  <si>
    <t>VALOR UNIT</t>
  </si>
  <si>
    <t>VALOR TOTAL</t>
  </si>
  <si>
    <t>ESTIMATIVA DE IMPORTAÇÃO</t>
  </si>
  <si>
    <t>Descrição</t>
  </si>
  <si>
    <t>Moeda EX</t>
  </si>
  <si>
    <t>Valor</t>
  </si>
  <si>
    <t>Moeda R$</t>
  </si>
  <si>
    <t>Peso Bruto</t>
  </si>
  <si>
    <t>Valor Fob</t>
  </si>
  <si>
    <t>USD</t>
  </si>
  <si>
    <t>Peso Liquido</t>
  </si>
  <si>
    <t xml:space="preserve">Valor Frete </t>
  </si>
  <si>
    <t>Taxa dólar</t>
  </si>
  <si>
    <t>Seguro</t>
  </si>
  <si>
    <t>SISCOMEX</t>
  </si>
  <si>
    <t>Valor ADU</t>
  </si>
  <si>
    <t>AFRMM</t>
  </si>
  <si>
    <t>Demais Despesas</t>
  </si>
  <si>
    <t>Liberação</t>
  </si>
  <si>
    <t>Armazenagem</t>
  </si>
  <si>
    <t>Frete interno</t>
  </si>
  <si>
    <t>Comissão Despacho Aduaneiro</t>
  </si>
  <si>
    <t xml:space="preserve">Taxa de Expediente </t>
  </si>
  <si>
    <t>Total</t>
  </si>
  <si>
    <t>Pacote Logístico</t>
  </si>
  <si>
    <t>Royalties</t>
  </si>
  <si>
    <t>CUSTO DE IMPORTAÇÃO</t>
  </si>
  <si>
    <t>CUSTO LÍQUIDO E VENDA DO IMPORTADOR</t>
  </si>
  <si>
    <t>CUSTO LÍQUIDO DO COMPRADOR</t>
  </si>
  <si>
    <t>ADIÇÃO</t>
  </si>
  <si>
    <t>ITEM</t>
  </si>
  <si>
    <t>CÓDIGO</t>
  </si>
  <si>
    <t>QUANTIDADE</t>
  </si>
  <si>
    <t>UN.</t>
  </si>
  <si>
    <t>DESCRIÇÃO</t>
  </si>
  <si>
    <t>VALOR UNITÁRIO</t>
  </si>
  <si>
    <t>PESO</t>
  </si>
  <si>
    <t>Valor FOB R$</t>
  </si>
  <si>
    <t>FRETE USD</t>
  </si>
  <si>
    <t xml:space="preserve">FRETE </t>
  </si>
  <si>
    <t>SEGURO</t>
  </si>
  <si>
    <t>VLR ADUANEIRO USD</t>
  </si>
  <si>
    <t>VLR ADUANEIRO R$</t>
  </si>
  <si>
    <t>Antidumping unitário/KG</t>
  </si>
  <si>
    <t>Antidumping</t>
  </si>
  <si>
    <t>DEMAIS DESPESAS</t>
  </si>
  <si>
    <t>% II</t>
  </si>
  <si>
    <t>VALOR II</t>
  </si>
  <si>
    <t>MERCADORIA USD</t>
  </si>
  <si>
    <t>MERCADORIA UNIT</t>
  </si>
  <si>
    <t>BASE IPI</t>
  </si>
  <si>
    <t>% IPI</t>
  </si>
  <si>
    <t>VALOR IPI-IMP</t>
  </si>
  <si>
    <t>% PIS</t>
  </si>
  <si>
    <t>VALOR PIS-IMP</t>
  </si>
  <si>
    <t>% COFINS</t>
  </si>
  <si>
    <t>VALOR COFINS- IMP</t>
  </si>
  <si>
    <t>CRÉDITO COFINS-IMP</t>
  </si>
  <si>
    <t>BASE ICMS ANTECIPADO</t>
  </si>
  <si>
    <t>% ICMS</t>
  </si>
  <si>
    <t>VALOR ICMS-ANTECIPADO</t>
  </si>
  <si>
    <t>CUSTO TOTAL</t>
  </si>
  <si>
    <t>CUSTO UNIT.</t>
  </si>
  <si>
    <t>CUSTO LÍQUIDO  IMPORTAÇÃO</t>
  </si>
  <si>
    <t>CUSTO LÍQUIDO TOTAL</t>
  </si>
  <si>
    <t>CUSTO UNIT. LIQ.</t>
  </si>
  <si>
    <t>MKP</t>
  </si>
  <si>
    <t>VALOR DOS PRODUTOS</t>
  </si>
  <si>
    <t>ICMS</t>
  </si>
  <si>
    <t>IPI</t>
  </si>
  <si>
    <t>ICMS ST</t>
  </si>
  <si>
    <t>TOTAL NF VENDA</t>
  </si>
  <si>
    <t>VALOR UNITÁRIO C/ IPI E ICMS ST</t>
  </si>
  <si>
    <t>ICMS ST ENTRADA SP</t>
  </si>
  <si>
    <t xml:space="preserve">                        ESTIMATIVA DE CUSTO - IMPORTAÇÃO PRÓPRIA</t>
  </si>
  <si>
    <t>Dados Cliente</t>
  </si>
  <si>
    <t>Cliente</t>
  </si>
  <si>
    <t>CNPJ</t>
  </si>
  <si>
    <t>Endereço</t>
  </si>
  <si>
    <t>Mercadoria / Dados Complementares</t>
  </si>
  <si>
    <t>Produto:</t>
  </si>
  <si>
    <t>Data do Câmbio</t>
  </si>
  <si>
    <t>Câmbio / USD</t>
  </si>
  <si>
    <t>Incoterms</t>
  </si>
  <si>
    <t>FOB</t>
  </si>
  <si>
    <t>Valor Aduaneiro</t>
  </si>
  <si>
    <t>Valor U$</t>
  </si>
  <si>
    <t>Valor  R$</t>
  </si>
  <si>
    <t>Valor FOB</t>
  </si>
  <si>
    <t>Frete Internacional</t>
  </si>
  <si>
    <t>Total - Valor CIF</t>
  </si>
  <si>
    <t>Tributos de Nacionalização</t>
  </si>
  <si>
    <t>I.I.</t>
  </si>
  <si>
    <t>IPI-Imp.</t>
  </si>
  <si>
    <t>PIS-Imp.</t>
  </si>
  <si>
    <t>COFINS-Imp.</t>
  </si>
  <si>
    <t>ICMS Antecipado</t>
  </si>
  <si>
    <t>TX Siscomex</t>
  </si>
  <si>
    <t>Total Tributos de Nacionalização</t>
  </si>
  <si>
    <t>Lançamentos Custos Aduaneiros</t>
  </si>
  <si>
    <t>Taxa de Expediente</t>
  </si>
  <si>
    <t>Despacho Aduaneiro</t>
  </si>
  <si>
    <t>Total Despesas Aduaneiras</t>
  </si>
  <si>
    <t>NF-e de Importação</t>
  </si>
  <si>
    <t>Produto</t>
  </si>
  <si>
    <t xml:space="preserve">Outras Despesas </t>
  </si>
  <si>
    <t>PIS+COFINS+ICMS+TAXA SISCOMEX+AFRMM</t>
  </si>
  <si>
    <t>NF-e Nacionalização</t>
  </si>
  <si>
    <t>Outras Despesas Operacionais</t>
  </si>
  <si>
    <t>Total outras despesas operacionais</t>
  </si>
  <si>
    <t>Custo Líquido do Importador</t>
  </si>
  <si>
    <t>Tributos Recuperáveis</t>
  </si>
  <si>
    <t>Custo Líquido</t>
  </si>
  <si>
    <t>ESTIMATIVA DE VENDA DO IMPORTADOR</t>
  </si>
  <si>
    <t>MARGEM DE LUCRO</t>
  </si>
  <si>
    <t>GANHO DA OPERAÇÃO</t>
  </si>
  <si>
    <t xml:space="preserve">MARGEM </t>
  </si>
  <si>
    <t>MARGEM</t>
  </si>
  <si>
    <t xml:space="preserve">PIS </t>
  </si>
  <si>
    <t>IRPJ</t>
  </si>
  <si>
    <t>GANHO ICMS</t>
  </si>
  <si>
    <t xml:space="preserve">COFINS </t>
  </si>
  <si>
    <t>CSLL</t>
  </si>
  <si>
    <t>MARKUP</t>
  </si>
  <si>
    <t>VALOR TOTAL DA VENDA</t>
  </si>
  <si>
    <t>ESTIMATIVA DE VENDA DO IMPORTADOR - POR ITEM</t>
  </si>
  <si>
    <t>Código</t>
  </si>
  <si>
    <t>Unidade de Medida</t>
  </si>
  <si>
    <t>Quantidade</t>
  </si>
  <si>
    <t>Valor dos produtos</t>
  </si>
  <si>
    <t>Valor unit. dos produtos</t>
  </si>
  <si>
    <t>Valor IPI</t>
  </si>
  <si>
    <t>Valor ICMS ST</t>
  </si>
  <si>
    <t>Valor Total NF-e</t>
  </si>
  <si>
    <t xml:space="preserve"> </t>
  </si>
  <si>
    <t>No.</t>
  </si>
  <si>
    <t>Descriptions</t>
  </si>
  <si>
    <t>Brand</t>
  </si>
  <si>
    <t>TOTAL</t>
  </si>
  <si>
    <t>7317.00.90</t>
  </si>
  <si>
    <t>QTY TON</t>
  </si>
  <si>
    <t>TON</t>
  </si>
  <si>
    <t>ICMS DIFAL</t>
  </si>
  <si>
    <t>% PESO</t>
  </si>
  <si>
    <t>Valor unit. NF-e (ton)</t>
  </si>
  <si>
    <t>Valor unit. NF-e (kg)</t>
  </si>
  <si>
    <t>Pacote Logístico - Frete Rodoviário</t>
  </si>
  <si>
    <t>PESO TOTAL</t>
  </si>
  <si>
    <t>VALOR UNIT DEC</t>
  </si>
  <si>
    <t>VALOR TOTAL DEC</t>
  </si>
  <si>
    <t>VALOR UNIT ROYALTIES</t>
  </si>
  <si>
    <t>VALOR TOTAL ROYALTIES</t>
  </si>
  <si>
    <t>% ROYALTIES</t>
  </si>
  <si>
    <t>Clavo con cabeza 10 x 10</t>
  </si>
  <si>
    <t>1 x 18</t>
  </si>
  <si>
    <t>Clavo con cabeza 15 x 15</t>
  </si>
  <si>
    <t>1 1/4 x 13</t>
  </si>
  <si>
    <t>Clavo con cabeza 13 x 15</t>
  </si>
  <si>
    <t>1 1/4 x15</t>
  </si>
  <si>
    <t>Clavo con cabeza 15 x 18</t>
  </si>
  <si>
    <t>1 1/2 x 13</t>
  </si>
  <si>
    <t>Clavo con cabeza 17 x 21</t>
  </si>
  <si>
    <t>2 x 11</t>
  </si>
  <si>
    <t>Clavo sin cabeza 17 x 21</t>
  </si>
  <si>
    <t>2 x 11 s/c</t>
  </si>
  <si>
    <t>Clavo con cabeza 15 x 21</t>
  </si>
  <si>
    <t>2 x 13</t>
  </si>
  <si>
    <t>Clavo con cabeza 17 x 27</t>
  </si>
  <si>
    <t>2 1/2 x 11</t>
  </si>
  <si>
    <t>Clavo con cabeza 18 x 27</t>
  </si>
  <si>
    <t>2 1/2 x 10</t>
  </si>
  <si>
    <t>Clavo con cabeza 18 x 36</t>
  </si>
  <si>
    <t>3 1/4 x 10</t>
  </si>
  <si>
    <t>Clavo con cabeza 19 x 36</t>
  </si>
  <si>
    <t>3 1/4 x 9</t>
  </si>
  <si>
    <t>Pregos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</si>
</sst>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 * #,##0.00_ ;_ * \-#,##0.00_ ;_ * &quot;-&quot;??_ ;_ @_ "/>
    <numFmt numFmtId="165" formatCode="_ &quot;¥&quot;* #,##0.00_ ;_ &quot;¥&quot;* \-#,##0.00_ ;_ &quot;¥&quot;* &quot;-&quot;??_ ;_ @_ "/>
    <numFmt numFmtId="166" formatCode="[$$-409]#,##0.00"/>
    <numFmt numFmtId="167" formatCode="_(* #,##0.00_);_(* \(#,##0.00\);_(* &quot;-&quot;??_);_(@_)"/>
    <numFmt numFmtId="168" formatCode="000000000000\-00"/>
    <numFmt numFmtId="169" formatCode="[$EUR]\ #,##0.00"/>
    <numFmt numFmtId="170" formatCode="dd/mm/yy"/>
    <numFmt numFmtId="171" formatCode="_-&quot;R$&quot;\ * #,##0.0000_-;\-&quot;R$&quot;\ * #,##0.0000_-;_-&quot;R$&quot;\ * &quot;-&quot;????_-;_-@"/>
    <numFmt numFmtId="172" formatCode="_-[$$-409]* #,##0.00_ ;_-[$$-409]* \-#,##0.00\ ;_-[$$-409]* &quot;-&quot;??_ ;_-@_ "/>
    <numFmt numFmtId="173" formatCode="_-[$R$-416]\ * #,##0.00_-;\-[$R$-416]\ * #,##0.00_-;_-[$R$-416]\ * &quot;-&quot;??_-;_-@_-"/>
    <numFmt numFmtId="174" formatCode="_-[$R$-416]\ * #,##0.00_-;\-[$R$-416]\ * #,##0.00_-;_-[$R$-416]\ * &quot;-&quot;??_-;_-@"/>
    <numFmt numFmtId="175" formatCode="_-&quot;R$&quot;\ * #,##0.00_-;\-&quot;R$&quot;\ * #,##0.00_-;_-&quot;R$&quot;\ * &quot;-&quot;??_-;_-@"/>
    <numFmt numFmtId="176" formatCode="0.0000"/>
    <numFmt numFmtId="177" formatCode="_-&quot;R$&quot;\ * #,##0.0000_-;\-&quot;R$&quot;\ * #,##0.0000_-;_-&quot;R$&quot;\ * &quot;-&quot;??_-;_-@_-"/>
    <numFmt numFmtId="178" formatCode="_-&quot;R$&quot;\ * #,##0.0000_-;\-&quot;R$&quot;\ * #,##0.0000_-;_-&quot;R$&quot;\ * &quot;-&quot;????_-;_-@_-"/>
    <numFmt numFmtId="179" formatCode="_-[$$-409]* #,##0.00000_ ;_-[$$-409]* \-#,##0.00000\ ;_-[$$-409]* &quot;-&quot;??_ ;_-@_ "/>
    <numFmt numFmtId="180" formatCode="_ * #,##0.0000_ ;_ * \-#,##0.0000_ ;_ * &quot;-&quot;??_ ;_ @_ "/>
    <numFmt numFmtId="181" formatCode="0.0%"/>
    <numFmt numFmtId="182" formatCode="0.00_ "/>
    <numFmt numFmtId="185" formatCode="_-[$$-409]* #,###.00_ ;_-[$$-409]* \-#,###.00\ ;_-[$$-409]* &quot;-&quot;??_ ;_-@_ "/>
  </numFmts>
  <fonts count="57">
    <font>
      <sz val="12"/>
      <name val="宋体"/>
      <charset val="134"/>
    </font>
    <font>
      <b/>
      <sz val="16"/>
      <name val="Arial"/>
      <charset val="134"/>
    </font>
    <font>
      <sz val="16"/>
      <name val="Arial"/>
      <charset val="134"/>
    </font>
    <font>
      <sz val="16"/>
      <color rgb="FF000000"/>
      <name val="Arial"/>
      <charset val="134"/>
    </font>
    <font>
      <b/>
      <sz val="26"/>
      <name val="Arial"/>
      <charset val="134"/>
    </font>
    <font>
      <sz val="26"/>
      <name val="Arial"/>
      <charset val="134"/>
    </font>
    <font>
      <b/>
      <sz val="16"/>
      <color rgb="FF000000"/>
      <name val="Arial"/>
      <charset val="134"/>
    </font>
    <font>
      <b/>
      <sz val="16"/>
      <color theme="0"/>
      <name val="Arial"/>
      <charset val="134"/>
    </font>
    <font>
      <sz val="16"/>
      <color rgb="FFFFFFFF"/>
      <name val="Arial"/>
      <charset val="134"/>
    </font>
    <font>
      <sz val="12"/>
      <name val="Arial"/>
      <charset val="134"/>
    </font>
    <font>
      <sz val="16"/>
      <color theme="0"/>
      <name val="Arial"/>
      <charset val="134"/>
    </font>
    <font>
      <b/>
      <sz val="16"/>
      <color rgb="FFFFFFFF"/>
      <name val="Arial"/>
      <charset val="134"/>
    </font>
    <font>
      <sz val="16"/>
      <color rgb="FF222A35"/>
      <name val="Arial"/>
      <charset val="134"/>
    </font>
    <font>
      <b/>
      <sz val="16"/>
      <color rgb="FF222A35"/>
      <name val="Arial"/>
      <charset val="134"/>
    </font>
    <font>
      <b/>
      <sz val="12"/>
      <name val="Arial"/>
      <charset val="134"/>
    </font>
    <font>
      <b/>
      <sz val="12"/>
      <color theme="0"/>
      <name val="Arial"/>
      <charset val="134"/>
    </font>
    <font>
      <b/>
      <sz val="12"/>
      <color rgb="FFFF0000"/>
      <name val="Arial"/>
      <charset val="134"/>
    </font>
    <font>
      <sz val="12"/>
      <color theme="0"/>
      <name val="Arial"/>
      <charset val="134"/>
    </font>
    <font>
      <b/>
      <u/>
      <sz val="12"/>
      <name val="Arial"/>
      <charset val="134"/>
    </font>
    <font>
      <sz val="12"/>
      <color theme="1"/>
      <name val="Arial"/>
      <charset val="134"/>
    </font>
    <font>
      <u/>
      <sz val="12"/>
      <name val="Arial"/>
      <charset val="134"/>
    </font>
    <font>
      <sz val="10"/>
      <name val="Helv"/>
      <charset val="134"/>
    </font>
    <font>
      <sz val="8"/>
      <name val="Sans EE"/>
      <charset val="238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0"/>
      <name val="Arial"/>
      <charset val="134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sz val="10"/>
      <color rgb="FF000000"/>
      <name val="Times New Roman"/>
      <charset val="134"/>
    </font>
    <font>
      <sz val="11"/>
      <name val="宋体"/>
      <charset val="134"/>
    </font>
    <font>
      <sz val="8"/>
      <name val="Sans EE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theme="1"/>
      <name val="Tahoma"/>
      <charset val="134"/>
    </font>
    <font>
      <sz val="11"/>
      <color theme="1"/>
      <name val="Calibri"/>
      <charset val="134"/>
      <scheme val="minor"/>
    </font>
    <font>
      <b/>
      <sz val="18"/>
      <color rgb="FF435369"/>
      <name val="宋体"/>
      <charset val="134"/>
    </font>
    <font>
      <b/>
      <sz val="15"/>
      <color rgb="FF435369"/>
      <name val="宋体"/>
      <charset val="134"/>
    </font>
    <font>
      <b/>
      <sz val="13"/>
      <color rgb="FF435369"/>
      <name val="宋体"/>
      <charset val="134"/>
    </font>
    <font>
      <b/>
      <sz val="11"/>
      <color rgb="FF435369"/>
      <name val="宋体"/>
      <charset val="134"/>
    </font>
    <font>
      <b/>
      <sz val="11"/>
      <color indexed="56"/>
      <name val="Tahoma"/>
      <charset val="134"/>
    </font>
    <font>
      <sz val="10"/>
      <name val="Helv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rgb="FFFA7D00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sz val="11"/>
      <color rgb="FF9C6500"/>
      <name val="宋体"/>
      <charset val="134"/>
    </font>
    <font>
      <sz val="11"/>
      <color rgb="FFFA7D00"/>
      <name val="宋体"/>
      <charset val="134"/>
    </font>
    <font>
      <sz val="12"/>
      <name val="宋体"/>
      <charset val="134"/>
    </font>
    <font>
      <b/>
      <sz val="16"/>
      <color rgb="FF000000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-0.499984740745262"/>
        <bgColor rgb="FF00B0F0"/>
      </patternFill>
    </fill>
    <fill>
      <patternFill patternType="solid">
        <fgColor rgb="FFA6A6A6"/>
        <bgColor rgb="FF00B0F0"/>
      </patternFill>
    </fill>
    <fill>
      <patternFill patternType="solid">
        <fgColor theme="4" tint="-0.49998474074526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A8D08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5C9BD5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4473C4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rgb="FF5C9BD5"/>
      </bottom>
      <diagonal/>
    </border>
    <border>
      <left/>
      <right/>
      <top/>
      <bottom style="medium">
        <color rgb="FFADCDEA"/>
      </bottom>
      <diagonal/>
    </border>
    <border>
      <left/>
      <right/>
      <top style="thin">
        <color rgb="FF5C9BD5"/>
      </top>
      <bottom style="double">
        <color rgb="FF5C9BD5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7">
    <xf numFmtId="0" fontId="0" fillId="0" borderId="0">
      <alignment vertical="center"/>
    </xf>
    <xf numFmtId="164" fontId="50" fillId="0" borderId="0" applyFont="0" applyFill="0" applyBorder="0" applyAlignment="0" applyProtection="0">
      <alignment vertical="center"/>
    </xf>
    <xf numFmtId="165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0" fontId="21" fillId="0" borderId="0"/>
    <xf numFmtId="1" fontId="22" fillId="0" borderId="0">
      <protection locked="0"/>
    </xf>
    <xf numFmtId="0" fontId="50" fillId="0" borderId="0"/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>
      <protection locked="0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166" fontId="50" fillId="0" borderId="0">
      <alignment vertical="center"/>
    </xf>
    <xf numFmtId="0" fontId="50" fillId="0" borderId="0">
      <alignment vertical="center"/>
    </xf>
    <xf numFmtId="167" fontId="50" fillId="0" borderId="0" applyFont="0" applyFill="0" applyBorder="0" applyAlignment="0" applyProtection="0"/>
    <xf numFmtId="164" fontId="25" fillId="0" borderId="0" applyFont="0" applyFill="0" applyBorder="0" applyAlignment="0" applyProtection="0"/>
    <xf numFmtId="1" fontId="22" fillId="0" borderId="0"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44" fontId="25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0" fontId="50" fillId="0" borderId="0"/>
    <xf numFmtId="0" fontId="50" fillId="0" borderId="0"/>
    <xf numFmtId="0" fontId="27" fillId="0" borderId="0"/>
    <xf numFmtId="0" fontId="28" fillId="0" borderId="0"/>
    <xf numFmtId="0" fontId="27" fillId="0" borderId="0"/>
    <xf numFmtId="0" fontId="27" fillId="0" borderId="0"/>
    <xf numFmtId="0" fontId="25" fillId="0" borderId="0"/>
    <xf numFmtId="0" fontId="50" fillId="0" borderId="0"/>
    <xf numFmtId="0" fontId="50" fillId="0" borderId="0">
      <alignment vertical="center"/>
    </xf>
    <xf numFmtId="0" fontId="5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5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50" fillId="0" borderId="0"/>
    <xf numFmtId="1" fontId="30" fillId="0" borderId="0"/>
    <xf numFmtId="9" fontId="2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0" borderId="0"/>
    <xf numFmtId="166" fontId="3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0" fillId="0" borderId="0">
      <alignment vertical="center"/>
    </xf>
    <xf numFmtId="0" fontId="27" fillId="0" borderId="0"/>
    <xf numFmtId="0" fontId="27" fillId="0" borderId="0"/>
    <xf numFmtId="166" fontId="34" fillId="0" borderId="0">
      <alignment vertical="center"/>
    </xf>
    <xf numFmtId="0" fontId="27" fillId="0" borderId="0">
      <alignment vertical="center"/>
    </xf>
    <xf numFmtId="0" fontId="2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5" fillId="0" borderId="0"/>
    <xf numFmtId="0" fontId="50" fillId="0" borderId="0"/>
    <xf numFmtId="0" fontId="50" fillId="0" borderId="0">
      <alignment vertical="center"/>
    </xf>
    <xf numFmtId="0" fontId="23" fillId="0" borderId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7" fillId="0" borderId="26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>
      <protection locked="0"/>
    </xf>
    <xf numFmtId="0" fontId="39" fillId="0" borderId="0">
      <protection locked="0"/>
    </xf>
    <xf numFmtId="0" fontId="40" fillId="0" borderId="0"/>
    <xf numFmtId="0" fontId="50" fillId="0" borderId="0"/>
    <xf numFmtId="0" fontId="41" fillId="33" borderId="24" applyNumberFormat="0" applyAlignment="0" applyProtection="0">
      <alignment vertical="center"/>
    </xf>
    <xf numFmtId="0" fontId="42" fillId="0" borderId="28" applyNumberFormat="0" applyFill="0" applyAlignment="0" applyProtection="0">
      <alignment vertical="center"/>
    </xf>
    <xf numFmtId="0" fontId="23" fillId="37" borderId="21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38" borderId="22" applyNumberFormat="0" applyAlignment="0" applyProtection="0">
      <alignment vertical="center"/>
    </xf>
    <xf numFmtId="0" fontId="46" fillId="39" borderId="22" applyNumberFormat="0" applyAlignment="0" applyProtection="0">
      <alignment vertical="center"/>
    </xf>
    <xf numFmtId="0" fontId="47" fillId="38" borderId="23" applyNumberFormat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9" fillId="0" borderId="25" applyNumberFormat="0" applyFill="0" applyAlignment="0" applyProtection="0">
      <alignment vertical="center"/>
    </xf>
  </cellStyleXfs>
  <cellXfs count="3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/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>
      <alignment vertical="center"/>
    </xf>
    <xf numFmtId="0" fontId="7" fillId="3" borderId="1" xfId="0" applyFont="1" applyFill="1" applyBorder="1" applyAlignment="1">
      <alignment horizontal="left" vertical="top"/>
    </xf>
    <xf numFmtId="0" fontId="1" fillId="0" borderId="3" xfId="0" applyFont="1" applyBorder="1">
      <alignment vertical="center"/>
    </xf>
    <xf numFmtId="0" fontId="3" fillId="2" borderId="0" xfId="0" applyFont="1" applyFill="1" applyAlignment="1">
      <alignment vertical="top"/>
    </xf>
    <xf numFmtId="0" fontId="7" fillId="3" borderId="5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7" fillId="3" borderId="8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169" fontId="3" fillId="2" borderId="3" xfId="0" applyNumberFormat="1" applyFont="1" applyFill="1" applyBorder="1" applyAlignment="1">
      <alignment horizontal="left" vertical="center"/>
    </xf>
    <xf numFmtId="0" fontId="3" fillId="2" borderId="3" xfId="0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>
      <alignment vertical="center"/>
    </xf>
    <xf numFmtId="170" fontId="3" fillId="2" borderId="9" xfId="0" applyNumberFormat="1" applyFont="1" applyFill="1" applyBorder="1" applyAlignment="1">
      <alignment horizontal="left" vertical="center"/>
    </xf>
    <xf numFmtId="171" fontId="3" fillId="2" borderId="10" xfId="0" applyNumberFormat="1" applyFont="1" applyFill="1" applyBorder="1" applyAlignment="1">
      <alignment horizontal="left" vertical="center"/>
    </xf>
    <xf numFmtId="171" fontId="3" fillId="2" borderId="10" xfId="0" applyNumberFormat="1" applyFont="1" applyFill="1" applyBorder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>
      <alignment vertical="center"/>
    </xf>
    <xf numFmtId="0" fontId="3" fillId="2" borderId="0" xfId="0" applyFont="1" applyFill="1" applyAlignment="1">
      <alignment horizontal="center" vertical="center"/>
    </xf>
    <xf numFmtId="172" fontId="3" fillId="2" borderId="3" xfId="0" applyNumberFormat="1" applyFont="1" applyFill="1" applyBorder="1">
      <alignment vertical="center"/>
    </xf>
    <xf numFmtId="173" fontId="2" fillId="2" borderId="4" xfId="0" applyNumberFormat="1" applyFont="1" applyFill="1" applyBorder="1" applyAlignment="1">
      <alignment horizontal="center" vertical="center"/>
    </xf>
    <xf numFmtId="172" fontId="3" fillId="2" borderId="0" xfId="0" applyNumberFormat="1" applyFont="1" applyFill="1">
      <alignment vertical="center"/>
    </xf>
    <xf numFmtId="173" fontId="2" fillId="2" borderId="7" xfId="0" applyNumberFormat="1" applyFont="1" applyFill="1" applyBorder="1" applyAlignment="1">
      <alignment horizontal="center" vertical="center"/>
    </xf>
    <xf numFmtId="172" fontId="3" fillId="2" borderId="0" xfId="0" applyNumberFormat="1" applyFont="1" applyFill="1" applyAlignment="1"/>
    <xf numFmtId="174" fontId="3" fillId="2" borderId="7" xfId="0" applyNumberFormat="1" applyFont="1" applyFill="1" applyBorder="1" applyAlignment="1"/>
    <xf numFmtId="0" fontId="6" fillId="2" borderId="10" xfId="0" applyFont="1" applyFill="1" applyBorder="1" applyAlignment="1">
      <alignment horizontal="left" vertical="center"/>
    </xf>
    <xf numFmtId="172" fontId="3" fillId="2" borderId="10" xfId="0" applyNumberFormat="1" applyFont="1" applyFill="1" applyBorder="1">
      <alignment vertical="center"/>
    </xf>
    <xf numFmtId="173" fontId="7" fillId="3" borderId="11" xfId="0" applyNumberFormat="1" applyFont="1" applyFill="1" applyBorder="1" applyAlignment="1">
      <alignment horizontal="left" vertical="top"/>
    </xf>
    <xf numFmtId="10" fontId="3" fillId="2" borderId="3" xfId="0" applyNumberFormat="1" applyFont="1" applyFill="1" applyBorder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75" fontId="3" fillId="2" borderId="7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174" fontId="3" fillId="2" borderId="4" xfId="0" applyNumberFormat="1" applyFont="1" applyFill="1" applyBorder="1" applyAlignment="1"/>
    <xf numFmtId="0" fontId="7" fillId="3" borderId="6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3" borderId="9" xfId="0" applyFont="1" applyFill="1" applyBorder="1" applyAlignment="1">
      <alignment horizontal="left" vertical="top"/>
    </xf>
    <xf numFmtId="0" fontId="6" fillId="2" borderId="9" xfId="0" applyFont="1" applyFill="1" applyBorder="1">
      <alignment vertical="center"/>
    </xf>
    <xf numFmtId="0" fontId="6" fillId="2" borderId="10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3" fillId="2" borderId="6" xfId="0" applyFont="1" applyFill="1" applyBorder="1" applyAlignment="1"/>
    <xf numFmtId="0" fontId="7" fillId="3" borderId="15" xfId="0" applyFont="1" applyFill="1" applyBorder="1" applyAlignment="1">
      <alignment horizontal="left" vertical="top"/>
    </xf>
    <xf numFmtId="0" fontId="3" fillId="2" borderId="9" xfId="0" applyFont="1" applyFill="1" applyBorder="1" applyAlignment="1"/>
    <xf numFmtId="0" fontId="3" fillId="2" borderId="10" xfId="0" applyFont="1" applyFill="1" applyBorder="1" applyAlignment="1"/>
    <xf numFmtId="0" fontId="2" fillId="2" borderId="0" xfId="0" applyFont="1" applyFill="1" applyAlignment="1"/>
    <xf numFmtId="174" fontId="2" fillId="4" borderId="0" xfId="0" applyNumberFormat="1" applyFont="1" applyFill="1">
      <alignment vertical="center"/>
    </xf>
    <xf numFmtId="0" fontId="2" fillId="2" borderId="10" xfId="0" applyFont="1" applyFill="1" applyBorder="1" applyAlignme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164" fontId="2" fillId="2" borderId="0" xfId="0" applyNumberFormat="1" applyFont="1" applyFill="1" applyAlignment="1"/>
    <xf numFmtId="0" fontId="7" fillId="3" borderId="16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74" fontId="2" fillId="2" borderId="4" xfId="0" applyNumberFormat="1" applyFont="1" applyFill="1" applyBorder="1" applyAlignment="1"/>
    <xf numFmtId="0" fontId="2" fillId="2" borderId="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74" fontId="2" fillId="2" borderId="7" xfId="0" applyNumberFormat="1" applyFont="1" applyFill="1" applyBorder="1" applyAlignment="1"/>
    <xf numFmtId="0" fontId="3" fillId="2" borderId="6" xfId="0" applyFont="1" applyFill="1" applyBorder="1">
      <alignment vertical="center"/>
    </xf>
    <xf numFmtId="0" fontId="3" fillId="2" borderId="9" xfId="0" applyFont="1" applyFill="1" applyBorder="1">
      <alignment vertical="center"/>
    </xf>
    <xf numFmtId="10" fontId="8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/>
    <xf numFmtId="0" fontId="3" fillId="2" borderId="7" xfId="0" applyFont="1" applyFill="1" applyBorder="1" applyAlignment="1"/>
    <xf numFmtId="10" fontId="3" fillId="2" borderId="0" xfId="0" applyNumberFormat="1" applyFont="1" applyFill="1" applyAlignment="1"/>
    <xf numFmtId="10" fontId="3" fillId="2" borderId="0" xfId="3" applyNumberFormat="1" applyFont="1" applyFill="1" applyAlignment="1"/>
    <xf numFmtId="173" fontId="3" fillId="2" borderId="3" xfId="0" applyNumberFormat="1" applyFont="1" applyFill="1" applyBorder="1" applyAlignment="1">
      <alignment horizontal="center"/>
    </xf>
    <xf numFmtId="10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173" fontId="3" fillId="2" borderId="0" xfId="0" applyNumberFormat="1" applyFont="1" applyFill="1" applyAlignment="1"/>
    <xf numFmtId="0" fontId="3" fillId="0" borderId="0" xfId="0" applyFont="1">
      <alignment vertical="center"/>
    </xf>
    <xf numFmtId="0" fontId="9" fillId="0" borderId="0" xfId="0" applyFont="1">
      <alignment vertical="center"/>
    </xf>
    <xf numFmtId="173" fontId="3" fillId="0" borderId="0" xfId="0" applyNumberFormat="1" applyFont="1">
      <alignment vertical="center"/>
    </xf>
    <xf numFmtId="0" fontId="10" fillId="0" borderId="0" xfId="0" applyFont="1">
      <alignment vertical="center"/>
    </xf>
    <xf numFmtId="0" fontId="2" fillId="0" borderId="17" xfId="0" applyFont="1" applyBorder="1" applyAlignment="1">
      <alignment horizontal="center" vertical="center"/>
    </xf>
    <xf numFmtId="10" fontId="2" fillId="0" borderId="17" xfId="3" applyNumberFormat="1" applyFont="1" applyBorder="1" applyAlignment="1">
      <alignment horizontal="center" vertical="center"/>
    </xf>
    <xf numFmtId="173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173" fontId="2" fillId="0" borderId="17" xfId="0" applyNumberFormat="1" applyFont="1" applyBorder="1">
      <alignment vertical="center"/>
    </xf>
    <xf numFmtId="173" fontId="1" fillId="0" borderId="0" xfId="0" applyNumberFormat="1" applyFont="1">
      <alignment vertical="center"/>
    </xf>
    <xf numFmtId="0" fontId="3" fillId="2" borderId="9" xfId="0" applyFont="1" applyFill="1" applyBorder="1" applyAlignment="1">
      <alignment horizontal="left" vertical="center"/>
    </xf>
    <xf numFmtId="10" fontId="3" fillId="2" borderId="10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10" fontId="8" fillId="2" borderId="10" xfId="0" applyNumberFormat="1" applyFont="1" applyFill="1" applyBorder="1" applyAlignment="1">
      <alignment horizontal="center"/>
    </xf>
    <xf numFmtId="10" fontId="3" fillId="2" borderId="10" xfId="0" applyNumberFormat="1" applyFont="1" applyFill="1" applyBorder="1" applyAlignment="1"/>
    <xf numFmtId="10" fontId="3" fillId="2" borderId="10" xfId="3" applyNumberFormat="1" applyFont="1" applyFill="1" applyBorder="1" applyAlignment="1"/>
    <xf numFmtId="173" fontId="3" fillId="2" borderId="11" xfId="0" applyNumberFormat="1" applyFont="1" applyFill="1" applyBorder="1" applyAlignment="1">
      <alignment horizontal="center"/>
    </xf>
    <xf numFmtId="0" fontId="6" fillId="2" borderId="7" xfId="0" applyFont="1" applyFill="1" applyBorder="1" applyAlignment="1"/>
    <xf numFmtId="0" fontId="7" fillId="5" borderId="0" xfId="0" applyFont="1" applyFill="1" applyAlignment="1">
      <alignment horizontal="left" vertical="center"/>
    </xf>
    <xf numFmtId="176" fontId="6" fillId="5" borderId="3" xfId="0" applyNumberFormat="1" applyFont="1" applyFill="1" applyBorder="1" applyAlignment="1">
      <alignment horizontal="left"/>
    </xf>
    <xf numFmtId="0" fontId="6" fillId="5" borderId="0" xfId="0" applyFont="1" applyFill="1" applyAlignment="1">
      <alignment horizontal="left"/>
    </xf>
    <xf numFmtId="10" fontId="11" fillId="5" borderId="3" xfId="0" applyNumberFormat="1" applyFont="1" applyFill="1" applyBorder="1" applyAlignment="1">
      <alignment horizontal="center"/>
    </xf>
    <xf numFmtId="176" fontId="6" fillId="5" borderId="3" xfId="0" applyNumberFormat="1" applyFont="1" applyFill="1" applyBorder="1" applyAlignment="1"/>
    <xf numFmtId="176" fontId="6" fillId="5" borderId="0" xfId="0" applyNumberFormat="1" applyFont="1" applyFill="1" applyAlignment="1"/>
    <xf numFmtId="176" fontId="7" fillId="5" borderId="4" xfId="0" applyNumberFormat="1" applyFont="1" applyFill="1" applyBorder="1" applyAlignment="1">
      <alignment horizontal="right" vertical="center"/>
    </xf>
    <xf numFmtId="0" fontId="7" fillId="5" borderId="9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/>
    </xf>
    <xf numFmtId="10" fontId="11" fillId="5" borderId="10" xfId="0" applyNumberFormat="1" applyFont="1" applyFill="1" applyBorder="1" applyAlignment="1">
      <alignment horizontal="center"/>
    </xf>
    <xf numFmtId="0" fontId="6" fillId="5" borderId="10" xfId="0" applyFont="1" applyFill="1" applyBorder="1" applyAlignment="1"/>
    <xf numFmtId="173" fontId="7" fillId="5" borderId="11" xfId="0" applyNumberFormat="1" applyFont="1" applyFill="1" applyBorder="1" applyAlignment="1">
      <alignment horizontal="right" vertical="center"/>
    </xf>
    <xf numFmtId="173" fontId="3" fillId="2" borderId="7" xfId="0" applyNumberFormat="1" applyFont="1" applyFill="1" applyBorder="1" applyAlignment="1"/>
    <xf numFmtId="0" fontId="1" fillId="6" borderId="12" xfId="0" applyFont="1" applyFill="1" applyBorder="1">
      <alignment vertical="center"/>
    </xf>
    <xf numFmtId="0" fontId="1" fillId="6" borderId="13" xfId="0" applyFont="1" applyFill="1" applyBorder="1" applyAlignment="1"/>
    <xf numFmtId="10" fontId="1" fillId="6" borderId="13" xfId="0" applyNumberFormat="1" applyFont="1" applyFill="1" applyBorder="1" applyAlignment="1">
      <alignment horizontal="center"/>
    </xf>
    <xf numFmtId="173" fontId="1" fillId="6" borderId="14" xfId="0" applyNumberFormat="1" applyFont="1" applyFill="1" applyBorder="1" applyAlignment="1"/>
    <xf numFmtId="0" fontId="1" fillId="0" borderId="0" xfId="0" applyFont="1" applyAlignment="1"/>
    <xf numFmtId="10" fontId="1" fillId="0" borderId="0" xfId="0" applyNumberFormat="1" applyFont="1" applyAlignment="1">
      <alignment horizontal="center"/>
    </xf>
    <xf numFmtId="173" fontId="1" fillId="0" borderId="0" xfId="0" applyNumberFormat="1" applyFont="1" applyAlignment="1"/>
    <xf numFmtId="0" fontId="6" fillId="2" borderId="0" xfId="0" applyFont="1" applyFill="1" applyAlignment="1"/>
    <xf numFmtId="0" fontId="7" fillId="3" borderId="15" xfId="0" applyFont="1" applyFill="1" applyBorder="1" applyAlignment="1">
      <alignment horizontal="center" vertical="center"/>
    </xf>
    <xf numFmtId="1" fontId="12" fillId="2" borderId="17" xfId="0" applyNumberFormat="1" applyFont="1" applyFill="1" applyBorder="1" applyAlignment="1">
      <alignment horizontal="center" vertical="center"/>
    </xf>
    <xf numFmtId="14" fontId="12" fillId="2" borderId="17" xfId="0" applyNumberFormat="1" applyFont="1" applyFill="1" applyBorder="1" applyAlignment="1">
      <alignment horizontal="center" vertical="center" wrapText="1"/>
    </xf>
    <xf numFmtId="173" fontId="12" fillId="2" borderId="18" xfId="0" applyNumberFormat="1" applyFont="1" applyFill="1" applyBorder="1" applyAlignment="1">
      <alignment horizontal="center" vertical="center"/>
    </xf>
    <xf numFmtId="174" fontId="12" fillId="0" borderId="1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3" fontId="2" fillId="0" borderId="0" xfId="0" applyNumberFormat="1" applyFont="1" applyAlignment="1"/>
    <xf numFmtId="173" fontId="7" fillId="0" borderId="0" xfId="0" applyNumberFormat="1" applyFont="1" applyAlignment="1"/>
    <xf numFmtId="173" fontId="3" fillId="0" borderId="0" xfId="0" applyNumberFormat="1" applyFont="1" applyAlignment="1"/>
    <xf numFmtId="0" fontId="7" fillId="3" borderId="2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1" fontId="13" fillId="2" borderId="0" xfId="0" applyNumberFormat="1" applyFont="1" applyFill="1" applyAlignment="1">
      <alignment horizontal="center" vertical="center"/>
    </xf>
    <xf numFmtId="173" fontId="13" fillId="2" borderId="0" xfId="0" applyNumberFormat="1" applyFont="1" applyFill="1" applyAlignment="1">
      <alignment horizontal="center" vertical="center"/>
    </xf>
    <xf numFmtId="174" fontId="1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top"/>
    </xf>
    <xf numFmtId="172" fontId="9" fillId="0" borderId="0" xfId="2" applyNumberFormat="1" applyFont="1" applyAlignment="1">
      <alignment horizontal="left" vertical="top"/>
    </xf>
    <xf numFmtId="172" fontId="9" fillId="0" borderId="0" xfId="0" applyNumberFormat="1" applyFont="1" applyAlignment="1">
      <alignment horizontal="left" vertical="top"/>
    </xf>
    <xf numFmtId="0" fontId="9" fillId="9" borderId="0" xfId="0" applyFont="1" applyFill="1" applyAlignment="1">
      <alignment horizontal="left"/>
    </xf>
    <xf numFmtId="0" fontId="4" fillId="9" borderId="0" xfId="45" applyFont="1" applyFill="1" applyAlignment="1" applyProtection="1">
      <alignment vertical="center"/>
      <protection hidden="1"/>
    </xf>
    <xf numFmtId="0" fontId="14" fillId="9" borderId="0" xfId="45" applyFont="1" applyFill="1" applyAlignment="1" applyProtection="1">
      <alignment vertical="center"/>
      <protection hidden="1"/>
    </xf>
    <xf numFmtId="0" fontId="15" fillId="7" borderId="1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9" fillId="9" borderId="0" xfId="0" applyFont="1" applyFill="1" applyAlignment="1">
      <alignment horizontal="left" vertical="center"/>
    </xf>
    <xf numFmtId="0" fontId="9" fillId="9" borderId="16" xfId="45" applyFont="1" applyFill="1" applyBorder="1" applyAlignment="1" applyProtection="1">
      <alignment horizontal="left" vertical="center"/>
      <protection hidden="1"/>
    </xf>
    <xf numFmtId="164" fontId="15" fillId="7" borderId="16" xfId="1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center" vertical="center"/>
    </xf>
    <xf numFmtId="173" fontId="9" fillId="9" borderId="4" xfId="60" applyNumberFormat="1" applyFont="1" applyFill="1" applyBorder="1" applyAlignment="1">
      <alignment horizontal="center" vertical="center" wrapText="1"/>
    </xf>
    <xf numFmtId="44" fontId="9" fillId="9" borderId="0" xfId="1" applyNumberFormat="1" applyFont="1" applyFill="1" applyBorder="1" applyAlignment="1">
      <alignment horizontal="left" vertical="center"/>
    </xf>
    <xf numFmtId="0" fontId="9" fillId="9" borderId="20" xfId="45" applyFont="1" applyFill="1" applyBorder="1" applyAlignment="1" applyProtection="1">
      <alignment horizontal="left" vertical="center"/>
      <protection hidden="1"/>
    </xf>
    <xf numFmtId="164" fontId="15" fillId="7" borderId="20" xfId="1" applyFont="1" applyFill="1" applyBorder="1" applyAlignment="1">
      <alignment horizontal="left" vertical="center"/>
    </xf>
    <xf numFmtId="0" fontId="9" fillId="9" borderId="6" xfId="0" applyFont="1" applyFill="1" applyBorder="1" applyAlignment="1">
      <alignment horizontal="center" vertical="center"/>
    </xf>
    <xf numFmtId="172" fontId="9" fillId="8" borderId="0" xfId="60" applyNumberFormat="1" applyFont="1" applyFill="1" applyAlignment="1">
      <alignment horizontal="center" vertical="center" wrapText="1"/>
    </xf>
    <xf numFmtId="173" fontId="9" fillId="9" borderId="7" xfId="60" applyNumberFormat="1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left" vertical="center"/>
    </xf>
    <xf numFmtId="177" fontId="14" fillId="8" borderId="20" xfId="2" applyNumberFormat="1" applyFont="1" applyFill="1" applyBorder="1" applyAlignment="1">
      <alignment horizontal="left" vertical="center"/>
    </xf>
    <xf numFmtId="172" fontId="9" fillId="9" borderId="0" xfId="1" applyNumberFormat="1" applyFont="1" applyFill="1" applyBorder="1" applyAlignment="1">
      <alignment horizontal="center" vertical="center"/>
    </xf>
    <xf numFmtId="44" fontId="9" fillId="9" borderId="7" xfId="1" applyNumberFormat="1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horizontal="left"/>
    </xf>
    <xf numFmtId="173" fontId="14" fillId="8" borderId="20" xfId="2" applyNumberFormat="1" applyFont="1" applyFill="1" applyBorder="1" applyAlignment="1">
      <alignment horizontal="left"/>
    </xf>
    <xf numFmtId="0" fontId="9" fillId="9" borderId="12" xfId="0" applyFont="1" applyFill="1" applyBorder="1" applyAlignment="1">
      <alignment horizontal="center" vertical="center"/>
    </xf>
    <xf numFmtId="172" fontId="9" fillId="9" borderId="13" xfId="60" applyNumberFormat="1" applyFont="1" applyFill="1" applyBorder="1" applyAlignment="1">
      <alignment horizontal="center" vertical="center" wrapText="1"/>
    </xf>
    <xf numFmtId="173" fontId="9" fillId="9" borderId="14" xfId="60" applyNumberFormat="1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left"/>
    </xf>
    <xf numFmtId="173" fontId="15" fillId="7" borderId="15" xfId="2" applyNumberFormat="1" applyFont="1" applyFill="1" applyBorder="1" applyAlignment="1">
      <alignment horizontal="left"/>
    </xf>
    <xf numFmtId="0" fontId="9" fillId="9" borderId="0" xfId="0" applyFont="1" applyFill="1" applyAlignment="1">
      <alignment horizontal="left" vertical="top"/>
    </xf>
    <xf numFmtId="0" fontId="9" fillId="9" borderId="2" xfId="45" applyFont="1" applyFill="1" applyBorder="1" applyProtection="1">
      <protection hidden="1"/>
    </xf>
    <xf numFmtId="0" fontId="9" fillId="9" borderId="3" xfId="45" applyFont="1" applyFill="1" applyBorder="1" applyProtection="1">
      <protection hidden="1"/>
    </xf>
    <xf numFmtId="173" fontId="9" fillId="8" borderId="16" xfId="6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9" fillId="9" borderId="6" xfId="45" applyFont="1" applyFill="1" applyBorder="1" applyProtection="1">
      <protection hidden="1"/>
    </xf>
    <xf numFmtId="0" fontId="9" fillId="9" borderId="0" xfId="45" applyFont="1" applyFill="1" applyProtection="1">
      <protection hidden="1"/>
    </xf>
    <xf numFmtId="173" fontId="9" fillId="8" borderId="20" xfId="6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9" fillId="9" borderId="6" xfId="45" applyFont="1" applyFill="1" applyBorder="1" applyAlignment="1" applyProtection="1">
      <alignment horizontal="left" vertical="center"/>
      <protection hidden="1"/>
    </xf>
    <xf numFmtId="0" fontId="9" fillId="9" borderId="0" xfId="45" applyFont="1" applyFill="1" applyAlignment="1" applyProtection="1">
      <alignment horizontal="left" vertical="center"/>
      <protection hidden="1"/>
    </xf>
    <xf numFmtId="0" fontId="9" fillId="9" borderId="7" xfId="45" applyFont="1" applyFill="1" applyBorder="1" applyAlignment="1" applyProtection="1">
      <alignment horizontal="left" vertical="center"/>
      <protection hidden="1"/>
    </xf>
    <xf numFmtId="173" fontId="16" fillId="0" borderId="0" xfId="0" applyNumberFormat="1" applyFont="1" applyAlignment="1">
      <alignment horizontal="left"/>
    </xf>
    <xf numFmtId="178" fontId="9" fillId="0" borderId="0" xfId="0" applyNumberFormat="1" applyFont="1" applyAlignment="1">
      <alignment horizontal="left"/>
    </xf>
    <xf numFmtId="173" fontId="9" fillId="9" borderId="17" xfId="60" applyNumberFormat="1" applyFont="1" applyFill="1" applyBorder="1" applyAlignment="1">
      <alignment horizontal="center" vertical="center" wrapText="1"/>
    </xf>
    <xf numFmtId="173" fontId="9" fillId="9" borderId="0" xfId="0" applyNumberFormat="1" applyFont="1" applyFill="1" applyAlignment="1">
      <alignment horizontal="left"/>
    </xf>
    <xf numFmtId="0" fontId="14" fillId="9" borderId="0" xfId="0" applyFont="1" applyFill="1">
      <alignment vertical="center"/>
    </xf>
    <xf numFmtId="0" fontId="14" fillId="0" borderId="0" xfId="0" applyFont="1">
      <alignment vertical="center"/>
    </xf>
    <xf numFmtId="0" fontId="17" fillId="0" borderId="0" xfId="0" applyFont="1" applyAlignment="1">
      <alignment horizontal="left" vertical="top"/>
    </xf>
    <xf numFmtId="0" fontId="18" fillId="9" borderId="0" xfId="0" applyFont="1" applyFill="1">
      <alignment vertical="center"/>
    </xf>
    <xf numFmtId="173" fontId="9" fillId="8" borderId="17" xfId="68" applyNumberFormat="1" applyFont="1" applyFill="1" applyBorder="1" applyAlignment="1" applyProtection="1">
      <alignment horizontal="center" vertical="center"/>
      <protection locked="0"/>
    </xf>
    <xf numFmtId="173" fontId="9" fillId="9" borderId="17" xfId="68" applyNumberFormat="1" applyFont="1" applyFill="1" applyBorder="1" applyAlignment="1" applyProtection="1">
      <alignment horizontal="center" vertical="center"/>
      <protection locked="0"/>
    </xf>
    <xf numFmtId="0" fontId="14" fillId="9" borderId="0" xfId="60" applyFont="1" applyFill="1" applyAlignment="1">
      <alignment vertical="center" wrapText="1"/>
    </xf>
    <xf numFmtId="0" fontId="15" fillId="7" borderId="17" xfId="0" applyFont="1" applyFill="1" applyBorder="1" applyAlignment="1">
      <alignment horizontal="center" vertical="center" wrapText="1"/>
    </xf>
    <xf numFmtId="0" fontId="15" fillId="7" borderId="17" xfId="6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8" borderId="17" xfId="60" applyFont="1" applyFill="1" applyBorder="1" applyAlignment="1">
      <alignment horizontal="center" vertical="center" wrapText="1"/>
    </xf>
    <xf numFmtId="1" fontId="9" fillId="8" borderId="17" xfId="60" applyNumberFormat="1" applyFont="1" applyFill="1" applyBorder="1" applyAlignment="1">
      <alignment horizontal="center" vertical="center" wrapText="1"/>
    </xf>
    <xf numFmtId="0" fontId="9" fillId="0" borderId="17" xfId="60" applyFont="1" applyBorder="1" applyAlignment="1">
      <alignment horizontal="center" vertical="center" wrapText="1"/>
    </xf>
    <xf numFmtId="2" fontId="9" fillId="8" borderId="17" xfId="60" applyNumberFormat="1" applyFont="1" applyFill="1" applyBorder="1" applyAlignment="1">
      <alignment horizontal="center" vertical="center" wrapText="1"/>
    </xf>
    <xf numFmtId="172" fontId="9" fillId="9" borderId="0" xfId="2" applyNumberFormat="1" applyFont="1" applyFill="1" applyAlignment="1">
      <alignment horizontal="left"/>
    </xf>
    <xf numFmtId="172" fontId="14" fillId="9" borderId="0" xfId="2" applyNumberFormat="1" applyFont="1" applyFill="1" applyAlignment="1" applyProtection="1">
      <alignment vertical="center"/>
      <protection hidden="1"/>
    </xf>
    <xf numFmtId="0" fontId="14" fillId="9" borderId="0" xfId="45" applyFont="1" applyFill="1" applyAlignment="1" applyProtection="1">
      <alignment horizontal="center" vertical="center"/>
      <protection hidden="1"/>
    </xf>
    <xf numFmtId="172" fontId="14" fillId="9" borderId="0" xfId="2" applyNumberFormat="1" applyFont="1" applyFill="1" applyAlignment="1" applyProtection="1">
      <alignment horizontal="center" vertical="center"/>
      <protection hidden="1"/>
    </xf>
    <xf numFmtId="172" fontId="9" fillId="9" borderId="0" xfId="2" applyNumberFormat="1" applyFont="1" applyFill="1" applyAlignment="1">
      <alignment horizontal="left" vertical="top"/>
    </xf>
    <xf numFmtId="0" fontId="9" fillId="9" borderId="0" xfId="0" applyFont="1" applyFill="1" applyAlignment="1"/>
    <xf numFmtId="172" fontId="9" fillId="9" borderId="0" xfId="2" applyNumberFormat="1" applyFont="1" applyFill="1" applyAlignment="1" applyProtection="1">
      <protection hidden="1"/>
    </xf>
    <xf numFmtId="0" fontId="14" fillId="9" borderId="0" xfId="0" applyFont="1" applyFill="1" applyAlignment="1">
      <alignment horizontal="center" vertical="center"/>
    </xf>
    <xf numFmtId="172" fontId="14" fillId="9" borderId="0" xfId="2" applyNumberFormat="1" applyFont="1" applyFill="1" applyAlignment="1">
      <alignment horizontal="center" vertical="center"/>
    </xf>
    <xf numFmtId="172" fontId="14" fillId="9" borderId="0" xfId="2" applyNumberFormat="1" applyFont="1" applyFill="1" applyAlignment="1">
      <alignment vertical="center" wrapText="1"/>
    </xf>
    <xf numFmtId="172" fontId="15" fillId="7" borderId="17" xfId="2" applyNumberFormat="1" applyFont="1" applyFill="1" applyBorder="1" applyAlignment="1">
      <alignment horizontal="center" vertical="center" wrapText="1"/>
    </xf>
    <xf numFmtId="179" fontId="9" fillId="8" borderId="17" xfId="60" applyNumberFormat="1" applyFont="1" applyFill="1" applyBorder="1" applyAlignment="1">
      <alignment horizontal="center" vertical="center" wrapText="1"/>
    </xf>
    <xf numFmtId="172" fontId="9" fillId="0" borderId="17" xfId="60" applyNumberFormat="1" applyFont="1" applyBorder="1" applyAlignment="1">
      <alignment horizontal="center" vertical="center" wrapText="1"/>
    </xf>
    <xf numFmtId="164" fontId="9" fillId="8" borderId="17" xfId="1" applyFont="1" applyFill="1" applyBorder="1" applyAlignment="1">
      <alignment horizontal="center" vertical="center" wrapText="1"/>
    </xf>
    <xf numFmtId="10" fontId="9" fillId="0" borderId="17" xfId="3" applyNumberFormat="1" applyFont="1" applyFill="1" applyBorder="1" applyAlignment="1">
      <alignment horizontal="center" vertical="center" wrapText="1"/>
    </xf>
    <xf numFmtId="173" fontId="9" fillId="0" borderId="17" xfId="60" applyNumberFormat="1" applyFont="1" applyBorder="1" applyAlignment="1">
      <alignment horizontal="center" vertical="center" wrapText="1"/>
    </xf>
    <xf numFmtId="172" fontId="9" fillId="0" borderId="17" xfId="2" applyNumberFormat="1" applyFont="1" applyFill="1" applyBorder="1" applyAlignment="1">
      <alignment horizontal="center" vertical="center" wrapText="1"/>
    </xf>
    <xf numFmtId="172" fontId="9" fillId="9" borderId="0" xfId="0" applyNumberFormat="1" applyFont="1" applyFill="1" applyAlignment="1">
      <alignment horizontal="left"/>
    </xf>
    <xf numFmtId="172" fontId="14" fillId="9" borderId="0" xfId="45" applyNumberFormat="1" applyFont="1" applyFill="1" applyAlignment="1" applyProtection="1">
      <alignment vertical="center"/>
      <protection hidden="1"/>
    </xf>
    <xf numFmtId="172" fontId="9" fillId="9" borderId="0" xfId="0" applyNumberFormat="1" applyFont="1" applyFill="1" applyAlignment="1">
      <alignment horizontal="left" vertical="top"/>
    </xf>
    <xf numFmtId="165" fontId="9" fillId="9" borderId="0" xfId="2" applyFont="1" applyFill="1" applyBorder="1" applyAlignment="1">
      <alignment horizontal="left"/>
    </xf>
    <xf numFmtId="172" fontId="9" fillId="9" borderId="0" xfId="0" applyNumberFormat="1" applyFont="1" applyFill="1" applyAlignment="1"/>
    <xf numFmtId="172" fontId="9" fillId="9" borderId="0" xfId="45" applyNumberFormat="1" applyFont="1" applyFill="1" applyProtection="1">
      <protection hidden="1"/>
    </xf>
    <xf numFmtId="173" fontId="9" fillId="9" borderId="0" xfId="68" applyNumberFormat="1" applyFont="1" applyFill="1" applyBorder="1" applyProtection="1">
      <protection locked="0"/>
    </xf>
    <xf numFmtId="172" fontId="14" fillId="9" borderId="0" xfId="60" applyNumberFormat="1" applyFont="1" applyFill="1" applyAlignment="1">
      <alignment vertical="center" wrapText="1"/>
    </xf>
    <xf numFmtId="172" fontId="15" fillId="7" borderId="17" xfId="60" applyNumberFormat="1" applyFont="1" applyFill="1" applyBorder="1" applyAlignment="1">
      <alignment horizontal="center" vertical="center" wrapText="1"/>
    </xf>
    <xf numFmtId="173" fontId="9" fillId="0" borderId="17" xfId="2" applyNumberFormat="1" applyFont="1" applyFill="1" applyBorder="1" applyAlignment="1">
      <alignment horizontal="center" vertical="center" wrapText="1"/>
    </xf>
    <xf numFmtId="0" fontId="14" fillId="0" borderId="17" xfId="60" applyFont="1" applyBorder="1" applyAlignment="1">
      <alignment horizontal="center" vertical="center" wrapText="1"/>
    </xf>
    <xf numFmtId="10" fontId="19" fillId="0" borderId="17" xfId="3" applyNumberFormat="1" applyFont="1" applyFill="1" applyBorder="1" applyAlignment="1">
      <alignment horizontal="center" vertical="center"/>
    </xf>
    <xf numFmtId="173" fontId="9" fillId="0" borderId="17" xfId="1" applyNumberFormat="1" applyFont="1" applyFill="1" applyBorder="1" applyAlignment="1">
      <alignment horizontal="center" vertical="center" wrapText="1"/>
    </xf>
    <xf numFmtId="0" fontId="18" fillId="9" borderId="0" xfId="60" applyFont="1" applyFill="1" applyAlignment="1">
      <alignment vertical="center" wrapText="1"/>
    </xf>
    <xf numFmtId="10" fontId="9" fillId="0" borderId="17" xfId="1" applyNumberFormat="1" applyFont="1" applyFill="1" applyBorder="1" applyAlignment="1">
      <alignment horizontal="center" vertical="center" wrapText="1"/>
    </xf>
    <xf numFmtId="180" fontId="9" fillId="0" borderId="17" xfId="1" applyNumberFormat="1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1" fontId="14" fillId="9" borderId="17" xfId="6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1" fontId="9" fillId="9" borderId="0" xfId="0" applyNumberFormat="1" applyFont="1" applyFill="1" applyAlignment="1">
      <alignment horizontal="center" vertical="center" wrapText="1"/>
    </xf>
    <xf numFmtId="172" fontId="14" fillId="9" borderId="15" xfId="60" applyNumberFormat="1" applyFont="1" applyFill="1" applyBorder="1" applyAlignment="1">
      <alignment horizontal="center" vertical="center" wrapText="1"/>
    </xf>
    <xf numFmtId="164" fontId="14" fillId="9" borderId="15" xfId="1" applyFont="1" applyFill="1" applyBorder="1" applyAlignment="1">
      <alignment horizontal="center" vertical="center" wrapText="1"/>
    </xf>
    <xf numFmtId="10" fontId="14" fillId="9" borderId="15" xfId="3" applyNumberFormat="1" applyFont="1" applyFill="1" applyBorder="1" applyAlignment="1">
      <alignment horizontal="center" vertical="center" wrapText="1"/>
    </xf>
    <xf numFmtId="173" fontId="14" fillId="9" borderId="15" xfId="60" applyNumberFormat="1" applyFont="1" applyFill="1" applyBorder="1" applyAlignment="1">
      <alignment horizontal="center" vertical="center" wrapText="1"/>
    </xf>
    <xf numFmtId="172" fontId="14" fillId="9" borderId="15" xfId="2" applyNumberFormat="1" applyFont="1" applyFill="1" applyBorder="1" applyAlignment="1">
      <alignment horizontal="center" vertical="center" wrapText="1"/>
    </xf>
    <xf numFmtId="172" fontId="9" fillId="9" borderId="0" xfId="0" applyNumberFormat="1" applyFont="1" applyFill="1" applyAlignment="1">
      <alignment horizontal="center" vertical="center" wrapText="1"/>
    </xf>
    <xf numFmtId="10" fontId="9" fillId="9" borderId="0" xfId="3" applyNumberFormat="1" applyFont="1" applyFill="1" applyBorder="1" applyAlignment="1">
      <alignment horizontal="center" vertical="center" wrapText="1"/>
    </xf>
    <xf numFmtId="173" fontId="9" fillId="9" borderId="0" xfId="2" applyNumberFormat="1" applyFont="1" applyFill="1" applyBorder="1" applyAlignment="1">
      <alignment horizontal="center" vertical="center" wrapText="1"/>
    </xf>
    <xf numFmtId="172" fontId="9" fillId="9" borderId="0" xfId="2" applyNumberFormat="1" applyFont="1" applyFill="1" applyBorder="1" applyAlignment="1">
      <alignment horizontal="center" vertical="center" wrapText="1"/>
    </xf>
    <xf numFmtId="173" fontId="14" fillId="9" borderId="20" xfId="60" applyNumberFormat="1" applyFont="1" applyFill="1" applyBorder="1" applyAlignment="1">
      <alignment horizontal="center" vertical="center" wrapText="1"/>
    </xf>
    <xf numFmtId="173" fontId="9" fillId="9" borderId="0" xfId="1" applyNumberFormat="1" applyFont="1" applyFill="1" applyBorder="1" applyAlignment="1">
      <alignment horizontal="center" vertical="center" wrapText="1"/>
    </xf>
    <xf numFmtId="172" fontId="14" fillId="9" borderId="6" xfId="60" applyNumberFormat="1" applyFont="1" applyFill="1" applyBorder="1" applyAlignment="1">
      <alignment horizontal="center" vertical="center" wrapText="1"/>
    </xf>
    <xf numFmtId="172" fontId="14" fillId="9" borderId="3" xfId="60" applyNumberFormat="1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/>
    </xf>
    <xf numFmtId="181" fontId="9" fillId="9" borderId="0" xfId="1" applyNumberFormat="1" applyFont="1" applyFill="1" applyBorder="1" applyAlignment="1">
      <alignment horizontal="center" vertical="center" wrapText="1"/>
    </xf>
    <xf numFmtId="44" fontId="9" fillId="9" borderId="0" xfId="1" applyNumberFormat="1" applyFont="1" applyFill="1" applyBorder="1" applyAlignment="1">
      <alignment horizontal="center" vertical="center" wrapText="1"/>
    </xf>
    <xf numFmtId="9" fontId="9" fillId="9" borderId="0" xfId="1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top"/>
    </xf>
    <xf numFmtId="173" fontId="9" fillId="0" borderId="0" xfId="0" applyNumberFormat="1" applyFont="1" applyAlignment="1">
      <alignment horizontal="left" vertical="top"/>
    </xf>
    <xf numFmtId="10" fontId="9" fillId="9" borderId="0" xfId="1" applyNumberFormat="1" applyFont="1" applyFill="1" applyBorder="1" applyAlignment="1">
      <alignment horizontal="center" vertical="center" wrapText="1"/>
    </xf>
    <xf numFmtId="173" fontId="14" fillId="9" borderId="6" xfId="6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173" fontId="14" fillId="9" borderId="17" xfId="0" applyNumberFormat="1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172" fontId="9" fillId="8" borderId="3" xfId="60" applyNumberFormat="1" applyFont="1" applyFill="1" applyBorder="1" applyAlignment="1">
      <alignment horizontal="center" vertical="center" wrapText="1"/>
    </xf>
    <xf numFmtId="0" fontId="52" fillId="7" borderId="17" xfId="60" applyFont="1" applyFill="1" applyBorder="1" applyAlignment="1">
      <alignment horizontal="center" vertical="center" wrapText="1"/>
    </xf>
    <xf numFmtId="2" fontId="12" fillId="2" borderId="18" xfId="0" applyNumberFormat="1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173" fontId="3" fillId="2" borderId="0" xfId="0" applyNumberFormat="1" applyFont="1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 wrapText="1"/>
    </xf>
    <xf numFmtId="172" fontId="53" fillId="0" borderId="0" xfId="0" applyNumberFormat="1" applyFont="1" applyAlignment="1">
      <alignment horizontal="center" vertical="center" wrapText="1"/>
    </xf>
    <xf numFmtId="2" fontId="53" fillId="0" borderId="0" xfId="0" applyNumberFormat="1" applyFont="1" applyAlignment="1">
      <alignment horizontal="center" vertical="center" wrapText="1"/>
    </xf>
    <xf numFmtId="173" fontId="2" fillId="0" borderId="0" xfId="0" applyNumberFormat="1" applyFont="1">
      <alignment vertical="center"/>
    </xf>
    <xf numFmtId="0" fontId="15" fillId="7" borderId="17" xfId="0" applyFont="1" applyFill="1" applyBorder="1" applyAlignment="1">
      <alignment horizontal="center" vertical="center"/>
    </xf>
    <xf numFmtId="0" fontId="15" fillId="7" borderId="12" xfId="60" applyFont="1" applyFill="1" applyBorder="1" applyAlignment="1">
      <alignment horizontal="center" vertical="center" wrapText="1"/>
    </xf>
    <xf numFmtId="0" fontId="15" fillId="7" borderId="13" xfId="60" applyFont="1" applyFill="1" applyBorder="1" applyAlignment="1">
      <alignment horizontal="center" vertical="center" wrapText="1"/>
    </xf>
    <xf numFmtId="0" fontId="15" fillId="7" borderId="14" xfId="60" applyFont="1" applyFill="1" applyBorder="1" applyAlignment="1">
      <alignment horizontal="center" vertical="center" wrapText="1"/>
    </xf>
    <xf numFmtId="0" fontId="15" fillId="7" borderId="17" xfId="60" applyFont="1" applyFill="1" applyBorder="1" applyAlignment="1">
      <alignment horizontal="center" vertical="center" wrapText="1"/>
    </xf>
    <xf numFmtId="0" fontId="15" fillId="7" borderId="12" xfId="45" applyFont="1" applyFill="1" applyBorder="1" applyAlignment="1" applyProtection="1">
      <alignment horizontal="center" vertical="center"/>
      <protection hidden="1"/>
    </xf>
    <xf numFmtId="0" fontId="15" fillId="7" borderId="13" xfId="45" applyFont="1" applyFill="1" applyBorder="1" applyAlignment="1" applyProtection="1">
      <alignment horizontal="center" vertical="center"/>
      <protection hidden="1"/>
    </xf>
    <xf numFmtId="0" fontId="15" fillId="7" borderId="4" xfId="45" applyFont="1" applyFill="1" applyBorder="1" applyAlignment="1" applyProtection="1">
      <alignment horizontal="center" vertical="center"/>
      <protection hidden="1"/>
    </xf>
    <xf numFmtId="0" fontId="9" fillId="9" borderId="6" xfId="45" applyFont="1" applyFill="1" applyBorder="1" applyAlignment="1" applyProtection="1">
      <alignment horizontal="left" vertical="center"/>
      <protection hidden="1"/>
    </xf>
    <xf numFmtId="0" fontId="9" fillId="9" borderId="0" xfId="45" applyFont="1" applyFill="1" applyAlignment="1" applyProtection="1">
      <alignment horizontal="left" vertical="center"/>
      <protection hidden="1"/>
    </xf>
    <xf numFmtId="0" fontId="9" fillId="9" borderId="7" xfId="45" applyFont="1" applyFill="1" applyBorder="1" applyAlignment="1" applyProtection="1">
      <alignment horizontal="left" vertical="center"/>
      <protection hidden="1"/>
    </xf>
    <xf numFmtId="0" fontId="9" fillId="9" borderId="12" xfId="45" applyFont="1" applyFill="1" applyBorder="1" applyAlignment="1" applyProtection="1">
      <alignment horizontal="left"/>
      <protection hidden="1"/>
    </xf>
    <xf numFmtId="0" fontId="9" fillId="9" borderId="13" xfId="45" applyFont="1" applyFill="1" applyBorder="1" applyAlignment="1" applyProtection="1">
      <alignment horizontal="left"/>
      <protection hidden="1"/>
    </xf>
    <xf numFmtId="0" fontId="9" fillId="9" borderId="14" xfId="45" applyFont="1" applyFill="1" applyBorder="1" applyAlignment="1" applyProtection="1">
      <alignment horizontal="left"/>
      <protection hidden="1"/>
    </xf>
    <xf numFmtId="0" fontId="9" fillId="9" borderId="17" xfId="45" applyFont="1" applyFill="1" applyBorder="1" applyAlignment="1" applyProtection="1">
      <alignment horizontal="left" vertical="center"/>
      <protection hidden="1"/>
    </xf>
    <xf numFmtId="0" fontId="6" fillId="2" borderId="3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top" wrapText="1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168" fontId="6" fillId="2" borderId="0" xfId="0" applyNumberFormat="1" applyFont="1" applyFill="1" applyAlignment="1">
      <alignment horizontal="left" vertical="top"/>
    </xf>
    <xf numFmtId="0" fontId="1" fillId="0" borderId="0" xfId="0" applyFont="1">
      <alignment vertical="center"/>
    </xf>
    <xf numFmtId="0" fontId="6" fillId="2" borderId="0" xfId="0" applyFont="1" applyFill="1" applyAlignment="1">
      <alignment horizontal="center" vertical="top"/>
    </xf>
    <xf numFmtId="0" fontId="1" fillId="0" borderId="7" xfId="0" applyFont="1" applyBorder="1">
      <alignment vertical="center"/>
    </xf>
    <xf numFmtId="0" fontId="6" fillId="2" borderId="9" xfId="0" applyFont="1" applyFill="1" applyBorder="1" applyAlignment="1">
      <alignment horizontal="left" vertical="top" wrapText="1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51" fillId="2" borderId="12" xfId="0" applyFont="1" applyFill="1" applyBorder="1" applyAlignment="1">
      <alignment horizontal="left" vertical="center" wrapText="1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53" fillId="0" borderId="31" xfId="0" applyFont="1" applyBorder="1" applyAlignment="1">
      <alignment horizontal="center" vertical="center"/>
    </xf>
    <xf numFmtId="0" fontId="54" fillId="0" borderId="32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185" fontId="56" fillId="0" borderId="0" xfId="0" applyNumberFormat="1" applyFont="1" applyAlignment="1">
      <alignment horizontal="center" vertical="center"/>
    </xf>
    <xf numFmtId="172" fontId="55" fillId="0" borderId="0" xfId="0" applyNumberFormat="1" applyFont="1" applyAlignment="1">
      <alignment horizontal="center" vertical="center" wrapText="1"/>
    </xf>
    <xf numFmtId="2" fontId="55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2" fontId="53" fillId="0" borderId="0" xfId="0" applyNumberFormat="1" applyFont="1" applyAlignment="1">
      <alignment horizontal="center" vertical="center"/>
    </xf>
    <xf numFmtId="182" fontId="55" fillId="0" borderId="0" xfId="0" applyNumberFormat="1" applyFont="1" applyAlignment="1">
      <alignment horizontal="center" vertical="center" wrapText="1"/>
    </xf>
    <xf numFmtId="0" fontId="53" fillId="0" borderId="29" xfId="0" applyFont="1" applyBorder="1" applyAlignment="1">
      <alignment horizontal="center" vertical="center"/>
    </xf>
    <xf numFmtId="0" fontId="55" fillId="0" borderId="34" xfId="0" applyFont="1" applyBorder="1" applyAlignment="1">
      <alignment horizontal="center" vertical="center"/>
    </xf>
    <xf numFmtId="0" fontId="55" fillId="0" borderId="36" xfId="0" applyFont="1" applyBorder="1" applyAlignment="1">
      <alignment horizontal="center" vertical="center"/>
    </xf>
    <xf numFmtId="0" fontId="55" fillId="0" borderId="35" xfId="0" applyFont="1" applyBorder="1" applyAlignment="1">
      <alignment horizontal="center" vertical="center"/>
    </xf>
    <xf numFmtId="0" fontId="55" fillId="0" borderId="33" xfId="0" applyFont="1" applyBorder="1" applyAlignment="1">
      <alignment horizontal="center" vertical="center"/>
    </xf>
    <xf numFmtId="0" fontId="55" fillId="0" borderId="37" xfId="0" applyFont="1" applyBorder="1" applyAlignment="1">
      <alignment horizontal="center" vertical="center" wrapText="1"/>
    </xf>
    <xf numFmtId="2" fontId="55" fillId="0" borderId="33" xfId="0" applyNumberFormat="1" applyFont="1" applyBorder="1" applyAlignment="1">
      <alignment horizontal="center" vertical="center"/>
    </xf>
  </cellXfs>
  <cellStyles count="127">
    <cellStyle name="_ET_STYLE_NoName_00_" xfId="4" xr:uid="{00000000-0005-0000-0000-000031000000}"/>
    <cellStyle name="_ET_STYLE_NoName_00_ 2" xfId="5" xr:uid="{00000000-0005-0000-0000-000032000000}"/>
    <cellStyle name="0,0_x000d__x000a_NA_x000d__x000a_" xfId="6" xr:uid="{00000000-0005-0000-0000-000033000000}"/>
    <cellStyle name="20% - 强调文字颜色 1" xfId="7" xr:uid="{00000000-0005-0000-0000-000034000000}"/>
    <cellStyle name="20% - 强调文字颜色 2" xfId="8" xr:uid="{00000000-0005-0000-0000-000035000000}"/>
    <cellStyle name="20% - 强调文字颜色 3" xfId="9" xr:uid="{00000000-0005-0000-0000-000036000000}"/>
    <cellStyle name="20% - 强调文字颜色 4" xfId="10" xr:uid="{00000000-0005-0000-0000-000037000000}"/>
    <cellStyle name="20% - 强调文字颜色 5" xfId="11" xr:uid="{00000000-0005-0000-0000-000038000000}"/>
    <cellStyle name="20% - 强调文字颜色 6" xfId="12" xr:uid="{00000000-0005-0000-0000-000039000000}"/>
    <cellStyle name="40% - 强调文字颜色 1" xfId="13" xr:uid="{00000000-0005-0000-0000-00003A000000}"/>
    <cellStyle name="40% - 强调文字颜色 2" xfId="14" xr:uid="{00000000-0005-0000-0000-00003B000000}"/>
    <cellStyle name="40% - 强调文字颜色 3" xfId="15" xr:uid="{00000000-0005-0000-0000-00003C000000}"/>
    <cellStyle name="40% - 强调文字颜色 4" xfId="16" xr:uid="{00000000-0005-0000-0000-00003D000000}"/>
    <cellStyle name="40% - 强调文字颜色 4 2 4" xfId="17" xr:uid="{00000000-0005-0000-0000-00003E000000}"/>
    <cellStyle name="40% - 强调文字颜色 5" xfId="18" xr:uid="{00000000-0005-0000-0000-00003F000000}"/>
    <cellStyle name="40% - 强调文字颜色 6" xfId="19" xr:uid="{00000000-0005-0000-0000-000040000000}"/>
    <cellStyle name="60% - 强调文字颜色 1" xfId="20" xr:uid="{00000000-0005-0000-0000-000041000000}"/>
    <cellStyle name="60% - 强调文字颜色 2" xfId="21" xr:uid="{00000000-0005-0000-0000-000042000000}"/>
    <cellStyle name="60% - 强调文字颜色 3" xfId="22" xr:uid="{00000000-0005-0000-0000-000043000000}"/>
    <cellStyle name="60% - 强调文字颜色 4" xfId="23" xr:uid="{00000000-0005-0000-0000-000044000000}"/>
    <cellStyle name="60% - 强调文字颜色 5" xfId="24" xr:uid="{00000000-0005-0000-0000-000045000000}"/>
    <cellStyle name="60% - 强调文字颜色 6" xfId="25" xr:uid="{00000000-0005-0000-0000-000046000000}"/>
    <cellStyle name="Cancel 23 4" xfId="26" xr:uid="{00000000-0005-0000-0000-000047000000}"/>
    <cellStyle name="Cancel 4 5 4 2" xfId="27" xr:uid="{00000000-0005-0000-0000-000048000000}"/>
    <cellStyle name="Comma 2" xfId="28" xr:uid="{00000000-0005-0000-0000-000049000000}"/>
    <cellStyle name="Comma 3" xfId="29" xr:uid="{00000000-0005-0000-0000-00004A000000}"/>
    <cellStyle name="Estilo 1" xfId="30" xr:uid="{00000000-0005-0000-0000-00004B000000}"/>
    <cellStyle name="Hiperlink 2" xfId="31" xr:uid="{00000000-0005-0000-0000-00004C000000}"/>
    <cellStyle name="Moeda" xfId="2" builtinId="4"/>
    <cellStyle name="Moeda 2" xfId="32" xr:uid="{00000000-0005-0000-0000-00004D000000}"/>
    <cellStyle name="Moeda 3" xfId="33" xr:uid="{00000000-0005-0000-0000-00004E000000}"/>
    <cellStyle name="Moeda 3 2" xfId="34" xr:uid="{00000000-0005-0000-0000-00004F000000}"/>
    <cellStyle name="Moeda 4" xfId="35" xr:uid="{00000000-0005-0000-0000-000050000000}"/>
    <cellStyle name="Moeda 5" xfId="36" xr:uid="{00000000-0005-0000-0000-000051000000}"/>
    <cellStyle name="Moeda 6" xfId="37" xr:uid="{00000000-0005-0000-0000-000052000000}"/>
    <cellStyle name="Moeda 7" xfId="38" xr:uid="{00000000-0005-0000-0000-000053000000}"/>
    <cellStyle name="Normal" xfId="0" builtinId="0"/>
    <cellStyle name="Normal 10" xfId="39" xr:uid="{00000000-0005-0000-0000-000054000000}"/>
    <cellStyle name="Normal 11" xfId="40" xr:uid="{00000000-0005-0000-0000-000055000000}"/>
    <cellStyle name="Normal 12" xfId="41" xr:uid="{00000000-0005-0000-0000-000056000000}"/>
    <cellStyle name="Normal 13" xfId="42" xr:uid="{00000000-0005-0000-0000-000057000000}"/>
    <cellStyle name="Normal 14" xfId="43" xr:uid="{00000000-0005-0000-0000-000058000000}"/>
    <cellStyle name="Normal 15" xfId="44" xr:uid="{00000000-0005-0000-0000-000059000000}"/>
    <cellStyle name="Normal 2" xfId="45" xr:uid="{00000000-0005-0000-0000-00005A000000}"/>
    <cellStyle name="Normal 2 2" xfId="46" xr:uid="{00000000-0005-0000-0000-00005B000000}"/>
    <cellStyle name="Normal 2 3" xfId="47" xr:uid="{00000000-0005-0000-0000-00005C000000}"/>
    <cellStyle name="Normal 3" xfId="48" xr:uid="{00000000-0005-0000-0000-00005D000000}"/>
    <cellStyle name="Normal 3 2" xfId="49" xr:uid="{00000000-0005-0000-0000-00005E000000}"/>
    <cellStyle name="Normal 3 3" xfId="50" xr:uid="{00000000-0005-0000-0000-00005F000000}"/>
    <cellStyle name="Normal 4" xfId="51" xr:uid="{00000000-0005-0000-0000-000060000000}"/>
    <cellStyle name="Normal 5" xfId="52" xr:uid="{00000000-0005-0000-0000-000061000000}"/>
    <cellStyle name="Normal 5 2" xfId="53" xr:uid="{00000000-0005-0000-0000-000062000000}"/>
    <cellStyle name="Normal 5 3" xfId="54" xr:uid="{00000000-0005-0000-0000-000063000000}"/>
    <cellStyle name="Normal 6" xfId="55" xr:uid="{00000000-0005-0000-0000-000064000000}"/>
    <cellStyle name="Normal 6 2" xfId="56" xr:uid="{00000000-0005-0000-0000-000065000000}"/>
    <cellStyle name="Normal 7" xfId="57" xr:uid="{00000000-0005-0000-0000-000066000000}"/>
    <cellStyle name="Normal 7 2" xfId="58" xr:uid="{00000000-0005-0000-0000-000067000000}"/>
    <cellStyle name="Normal 8" xfId="59" xr:uid="{00000000-0005-0000-0000-000068000000}"/>
    <cellStyle name="Normal 9" xfId="60" xr:uid="{00000000-0005-0000-0000-000069000000}"/>
    <cellStyle name="normálne_Hárok1" xfId="61" xr:uid="{00000000-0005-0000-0000-00006A000000}"/>
    <cellStyle name="Porcentagem" xfId="3" builtinId="5"/>
    <cellStyle name="Porcentagem 2" xfId="62" xr:uid="{00000000-0005-0000-0000-00006B000000}"/>
    <cellStyle name="Porcentagem 3" xfId="63" xr:uid="{00000000-0005-0000-0000-00006C000000}"/>
    <cellStyle name="Porcentagem 3 2" xfId="64" xr:uid="{00000000-0005-0000-0000-00006D000000}"/>
    <cellStyle name="Porcentagem 4" xfId="65" xr:uid="{00000000-0005-0000-0000-00006E000000}"/>
    <cellStyle name="Porcentagem 5" xfId="66" xr:uid="{00000000-0005-0000-0000-00006F000000}"/>
    <cellStyle name="Porcentagem 6" xfId="67" xr:uid="{00000000-0005-0000-0000-000070000000}"/>
    <cellStyle name="Separador de milhares 2" xfId="68" xr:uid="{00000000-0005-0000-0000-000071000000}"/>
    <cellStyle name="Separador de milhares 2 2" xfId="69" xr:uid="{00000000-0005-0000-0000-000072000000}"/>
    <cellStyle name="Vírgula" xfId="1" builtinId="3"/>
    <cellStyle name="Vírgula 2" xfId="70" xr:uid="{00000000-0005-0000-0000-000073000000}"/>
    <cellStyle name="Vírgula 2 2" xfId="71" xr:uid="{00000000-0005-0000-0000-000074000000}"/>
    <cellStyle name="Vírgula 2 3" xfId="72" xr:uid="{00000000-0005-0000-0000-000075000000}"/>
    <cellStyle name="Vírgula 3" xfId="73" xr:uid="{00000000-0005-0000-0000-000076000000}"/>
    <cellStyle name="Vírgula 4" xfId="74" xr:uid="{00000000-0005-0000-0000-000077000000}"/>
    <cellStyle name="Vírgula 5" xfId="75" xr:uid="{00000000-0005-0000-0000-000078000000}"/>
    <cellStyle name="好" xfId="76" xr:uid="{00000000-0005-0000-0000-000079000000}"/>
    <cellStyle name="差" xfId="77" xr:uid="{00000000-0005-0000-0000-00007A000000}"/>
    <cellStyle name="常规 10" xfId="78" xr:uid="{00000000-0005-0000-0000-00007B000000}"/>
    <cellStyle name="常规 10 10" xfId="79" xr:uid="{00000000-0005-0000-0000-00007C000000}"/>
    <cellStyle name="常规 10 2 2" xfId="80" xr:uid="{00000000-0005-0000-0000-00007D000000}"/>
    <cellStyle name="常规 10 2 2 2" xfId="81" xr:uid="{00000000-0005-0000-0000-00007E000000}"/>
    <cellStyle name="常规 14 3" xfId="82" xr:uid="{00000000-0005-0000-0000-00007F000000}"/>
    <cellStyle name="常规 14 3 2" xfId="83" xr:uid="{00000000-0005-0000-0000-000080000000}"/>
    <cellStyle name="常规 191" xfId="84" xr:uid="{00000000-0005-0000-0000-000081000000}"/>
    <cellStyle name="常规 2" xfId="85" xr:uid="{00000000-0005-0000-0000-000082000000}"/>
    <cellStyle name="常规 2 11" xfId="86" xr:uid="{00000000-0005-0000-0000-000083000000}"/>
    <cellStyle name="常规 2 11 2" xfId="87" xr:uid="{00000000-0005-0000-0000-000084000000}"/>
    <cellStyle name="常规 2 13 5 3 2 2" xfId="88" xr:uid="{00000000-0005-0000-0000-000085000000}"/>
    <cellStyle name="常规 2 2 2" xfId="89" xr:uid="{00000000-0005-0000-0000-000086000000}"/>
    <cellStyle name="常规 21" xfId="90" xr:uid="{00000000-0005-0000-0000-000087000000}"/>
    <cellStyle name="常规 33 2" xfId="91" xr:uid="{00000000-0005-0000-0000-000088000000}"/>
    <cellStyle name="常规 34" xfId="92" xr:uid="{00000000-0005-0000-0000-000089000000}"/>
    <cellStyle name="常规 35" xfId="93" xr:uid="{00000000-0005-0000-0000-00008A000000}"/>
    <cellStyle name="常规 35 3" xfId="94" xr:uid="{00000000-0005-0000-0000-00008B000000}"/>
    <cellStyle name="常规 4" xfId="95" xr:uid="{00000000-0005-0000-0000-00008C000000}"/>
    <cellStyle name="常规 51" xfId="96" xr:uid="{00000000-0005-0000-0000-00008D000000}"/>
    <cellStyle name="常规 51 2" xfId="97" xr:uid="{00000000-0005-0000-0000-00008E000000}"/>
    <cellStyle name="常规 54" xfId="98" xr:uid="{00000000-0005-0000-0000-00008F000000}"/>
    <cellStyle name="常规 6 12 2 3" xfId="99" xr:uid="{00000000-0005-0000-0000-000090000000}"/>
    <cellStyle name="常规 7" xfId="100" xr:uid="{00000000-0005-0000-0000-000091000000}"/>
    <cellStyle name="常规_2017100小蔡" xfId="101" xr:uid="{00000000-0005-0000-0000-000092000000}"/>
    <cellStyle name="强调文字颜色 1" xfId="102" xr:uid="{00000000-0005-0000-0000-000093000000}"/>
    <cellStyle name="强调文字颜色 2" xfId="103" xr:uid="{00000000-0005-0000-0000-000094000000}"/>
    <cellStyle name="强调文字颜色 3" xfId="104" xr:uid="{00000000-0005-0000-0000-000095000000}"/>
    <cellStyle name="强调文字颜色 4" xfId="105" xr:uid="{00000000-0005-0000-0000-000096000000}"/>
    <cellStyle name="强调文字颜色 5" xfId="106" xr:uid="{00000000-0005-0000-0000-000097000000}"/>
    <cellStyle name="强调文字颜色 6" xfId="107" xr:uid="{00000000-0005-0000-0000-000098000000}"/>
    <cellStyle name="标题" xfId="108" xr:uid="{00000000-0005-0000-0000-000099000000}"/>
    <cellStyle name="标题 1" xfId="109" xr:uid="{00000000-0005-0000-0000-00009A000000}"/>
    <cellStyle name="标题 2" xfId="110" xr:uid="{00000000-0005-0000-0000-00009B000000}"/>
    <cellStyle name="标题 3" xfId="111" xr:uid="{00000000-0005-0000-0000-00009C000000}"/>
    <cellStyle name="标题 4" xfId="112" xr:uid="{00000000-0005-0000-0000-00009D000000}"/>
    <cellStyle name="标题 4 61" xfId="113" xr:uid="{00000000-0005-0000-0000-00009E000000}"/>
    <cellStyle name="标题 4 7" xfId="114" xr:uid="{00000000-0005-0000-0000-00009F000000}"/>
    <cellStyle name="样式 1" xfId="115" xr:uid="{00000000-0005-0000-0000-0000A0000000}"/>
    <cellStyle name="样式 1 2" xfId="116" xr:uid="{00000000-0005-0000-0000-0000A1000000}"/>
    <cellStyle name="检查单元格" xfId="117" xr:uid="{00000000-0005-0000-0000-0000A2000000}"/>
    <cellStyle name="汇总" xfId="118" xr:uid="{00000000-0005-0000-0000-0000A3000000}"/>
    <cellStyle name="注释" xfId="119" xr:uid="{00000000-0005-0000-0000-0000A4000000}"/>
    <cellStyle name="解释性文本" xfId="120" xr:uid="{00000000-0005-0000-0000-0000A5000000}"/>
    <cellStyle name="警告文本" xfId="121" xr:uid="{00000000-0005-0000-0000-0000A6000000}"/>
    <cellStyle name="计算" xfId="122" xr:uid="{00000000-0005-0000-0000-0000A7000000}"/>
    <cellStyle name="输入" xfId="123" xr:uid="{00000000-0005-0000-0000-0000A8000000}"/>
    <cellStyle name="输出" xfId="124" xr:uid="{00000000-0005-0000-0000-0000A9000000}"/>
    <cellStyle name="适中" xfId="125" xr:uid="{00000000-0005-0000-0000-0000AA000000}"/>
    <cellStyle name="链接单元格" xfId="126" xr:uid="{00000000-0005-0000-0000-0000AB000000}"/>
  </cellStyles>
  <dxfs count="22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  <color rgb="FFFFFFFF"/>
      </font>
      <fill>
        <patternFill patternType="solid">
          <fgColor rgb="FF385623"/>
          <bgColor rgb="FF385623"/>
        </patternFill>
      </fill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7455CE0A-FAF8-4DFF-A8D9-33AE281BC039}">
      <tableStyleElement type="wholeTable" dxfId="21"/>
      <tableStyleElement type="headerRow" dxfId="20"/>
    </tableStyle>
  </tableStyles>
  <colors>
    <mruColors>
      <color rgb="FFBC8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207819</xdr:rowOff>
    </xdr:from>
    <xdr:to>
      <xdr:col>1</xdr:col>
      <xdr:colOff>3159008</xdr:colOff>
      <xdr:row>6</xdr:row>
      <xdr:rowOff>53860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0040" y="207645"/>
          <a:ext cx="3158490" cy="1411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"/>
  <sheetViews>
    <sheetView showGridLines="0" zoomScale="85" zoomScaleNormal="85" workbookViewId="0">
      <selection activeCell="D14" sqref="D14"/>
    </sheetView>
  </sheetViews>
  <sheetFormatPr defaultColWidth="17.3984375" defaultRowHeight="15"/>
  <cols>
    <col min="1" max="1" width="17.3984375" style="318"/>
    <col min="2" max="2" width="41.8984375" style="314" bestFit="1" customWidth="1"/>
    <col min="3" max="3" width="24" style="318" bestFit="1" customWidth="1"/>
    <col min="4" max="16384" width="17.3984375" style="318"/>
  </cols>
  <sheetData>
    <row r="1" spans="1:13" s="267" customFormat="1" ht="31.8" thickTop="1">
      <c r="A1" s="322" t="s">
        <v>136</v>
      </c>
      <c r="B1" s="311" t="s">
        <v>137</v>
      </c>
      <c r="C1" s="312" t="s">
        <v>138</v>
      </c>
      <c r="D1" s="313" t="s">
        <v>141</v>
      </c>
      <c r="E1" s="267" t="s">
        <v>0</v>
      </c>
      <c r="F1" s="267" t="s">
        <v>1</v>
      </c>
      <c r="G1" s="267" t="s">
        <v>2</v>
      </c>
      <c r="H1" s="267" t="s">
        <v>148</v>
      </c>
      <c r="I1" s="267" t="s">
        <v>149</v>
      </c>
      <c r="J1" s="267" t="s">
        <v>150</v>
      </c>
      <c r="K1" s="267" t="s">
        <v>151</v>
      </c>
      <c r="L1" s="267" t="s">
        <v>152</v>
      </c>
      <c r="M1" s="267" t="s">
        <v>153</v>
      </c>
    </row>
    <row r="2" spans="1:13" s="267" customFormat="1" ht="15.6">
      <c r="A2" s="323"/>
      <c r="B2" s="324"/>
      <c r="C2" s="324"/>
      <c r="D2" s="324"/>
    </row>
    <row r="3" spans="1:13">
      <c r="A3" s="326">
        <v>1</v>
      </c>
      <c r="B3" s="327" t="s">
        <v>154</v>
      </c>
      <c r="C3" s="327" t="s">
        <v>155</v>
      </c>
      <c r="D3" s="328">
        <v>1</v>
      </c>
      <c r="E3" s="314" t="s">
        <v>140</v>
      </c>
      <c r="F3" s="315">
        <v>1180</v>
      </c>
      <c r="G3" s="316">
        <f>F3*D3</f>
        <v>1180</v>
      </c>
      <c r="H3" s="317">
        <f>D3*1000</f>
        <v>1000</v>
      </c>
      <c r="I3" s="316">
        <f>F3</f>
        <v>1180</v>
      </c>
      <c r="J3" s="316">
        <f>I3*D3</f>
        <v>1180</v>
      </c>
      <c r="K3" s="316">
        <f>F3-I3</f>
        <v>0</v>
      </c>
      <c r="L3" s="316">
        <f>K3*D3</f>
        <v>0</v>
      </c>
    </row>
    <row r="4" spans="1:13">
      <c r="A4" s="326">
        <v>2</v>
      </c>
      <c r="B4" s="327" t="s">
        <v>156</v>
      </c>
      <c r="C4" s="327" t="s">
        <v>157</v>
      </c>
      <c r="D4" s="328">
        <v>1</v>
      </c>
      <c r="E4" s="314" t="s">
        <v>140</v>
      </c>
      <c r="F4" s="315">
        <v>1060</v>
      </c>
      <c r="G4" s="316">
        <f>F4*D4</f>
        <v>1060</v>
      </c>
      <c r="H4" s="317">
        <f>D4*1000</f>
        <v>1000</v>
      </c>
      <c r="I4" s="316">
        <f t="shared" ref="I4:I13" si="0">F4</f>
        <v>1060</v>
      </c>
      <c r="J4" s="316">
        <f>I4*D4</f>
        <v>1060</v>
      </c>
      <c r="K4" s="316">
        <f t="shared" ref="K4:K13" si="1">F4-I4</f>
        <v>0</v>
      </c>
      <c r="L4" s="316">
        <f>K4*D4</f>
        <v>0</v>
      </c>
    </row>
    <row r="5" spans="1:13">
      <c r="A5" s="326">
        <v>3</v>
      </c>
      <c r="B5" s="327" t="s">
        <v>158</v>
      </c>
      <c r="C5" s="327" t="s">
        <v>159</v>
      </c>
      <c r="D5" s="328">
        <v>1</v>
      </c>
      <c r="E5" s="314" t="s">
        <v>140</v>
      </c>
      <c r="F5" s="315">
        <v>1120</v>
      </c>
      <c r="G5" s="316">
        <f>F5*D5</f>
        <v>1120</v>
      </c>
      <c r="H5" s="317">
        <f>D5*1000</f>
        <v>1000</v>
      </c>
      <c r="I5" s="316">
        <f t="shared" si="0"/>
        <v>1120</v>
      </c>
      <c r="J5" s="316">
        <f>I5*D5</f>
        <v>1120</v>
      </c>
      <c r="K5" s="316">
        <f t="shared" si="1"/>
        <v>0</v>
      </c>
      <c r="L5" s="316">
        <f>K5*D5</f>
        <v>0</v>
      </c>
    </row>
    <row r="6" spans="1:13">
      <c r="A6" s="326">
        <v>4</v>
      </c>
      <c r="B6" s="327" t="s">
        <v>160</v>
      </c>
      <c r="C6" s="327" t="s">
        <v>161</v>
      </c>
      <c r="D6" s="328">
        <v>1</v>
      </c>
      <c r="E6" s="314" t="s">
        <v>140</v>
      </c>
      <c r="F6" s="315">
        <v>1060</v>
      </c>
      <c r="G6" s="316">
        <f>F6*D6</f>
        <v>1060</v>
      </c>
      <c r="H6" s="317">
        <f>D6*1000</f>
        <v>1000</v>
      </c>
      <c r="I6" s="316">
        <f t="shared" si="0"/>
        <v>1060</v>
      </c>
      <c r="J6" s="316">
        <f>I6*D6</f>
        <v>1060</v>
      </c>
      <c r="K6" s="316">
        <f t="shared" si="1"/>
        <v>0</v>
      </c>
      <c r="L6" s="316">
        <f>K6*D6</f>
        <v>0</v>
      </c>
    </row>
    <row r="7" spans="1:13">
      <c r="A7" s="326">
        <v>5</v>
      </c>
      <c r="B7" s="327" t="s">
        <v>162</v>
      </c>
      <c r="C7" s="327" t="s">
        <v>163</v>
      </c>
      <c r="D7" s="328">
        <v>1</v>
      </c>
      <c r="E7" s="314" t="s">
        <v>140</v>
      </c>
      <c r="F7" s="315">
        <v>970</v>
      </c>
      <c r="G7" s="316">
        <f>F7*D7</f>
        <v>970</v>
      </c>
      <c r="H7" s="317">
        <f>D7*1000</f>
        <v>1000</v>
      </c>
      <c r="I7" s="316">
        <f t="shared" si="0"/>
        <v>970</v>
      </c>
      <c r="J7" s="316">
        <f>I7*D7</f>
        <v>970</v>
      </c>
      <c r="K7" s="316">
        <f t="shared" si="1"/>
        <v>0</v>
      </c>
      <c r="L7" s="316">
        <f>K7*D7</f>
        <v>0</v>
      </c>
    </row>
    <row r="8" spans="1:13">
      <c r="A8" s="326">
        <v>6</v>
      </c>
      <c r="B8" s="327" t="s">
        <v>164</v>
      </c>
      <c r="C8" s="327" t="s">
        <v>165</v>
      </c>
      <c r="D8" s="328">
        <v>1</v>
      </c>
      <c r="E8" s="314" t="s">
        <v>140</v>
      </c>
      <c r="F8" s="315">
        <v>970</v>
      </c>
      <c r="G8" s="316">
        <f>F8*D8</f>
        <v>970</v>
      </c>
      <c r="H8" s="317">
        <f>D8*1000</f>
        <v>1000</v>
      </c>
      <c r="I8" s="316">
        <f t="shared" si="0"/>
        <v>970</v>
      </c>
      <c r="J8" s="316">
        <f>I8*D8</f>
        <v>970</v>
      </c>
      <c r="K8" s="316">
        <f t="shared" si="1"/>
        <v>0</v>
      </c>
      <c r="L8" s="316">
        <f>K8*D8</f>
        <v>0</v>
      </c>
    </row>
    <row r="9" spans="1:13">
      <c r="A9" s="326">
        <v>7</v>
      </c>
      <c r="B9" s="327" t="s">
        <v>166</v>
      </c>
      <c r="C9" s="327" t="s">
        <v>167</v>
      </c>
      <c r="D9" s="328">
        <v>1</v>
      </c>
      <c r="E9" s="314" t="s">
        <v>140</v>
      </c>
      <c r="F9" s="315">
        <v>1060</v>
      </c>
      <c r="G9" s="316">
        <f>F9*D9</f>
        <v>1060</v>
      </c>
      <c r="H9" s="317">
        <f>D9*1000</f>
        <v>1000</v>
      </c>
      <c r="I9" s="316">
        <f t="shared" si="0"/>
        <v>1060</v>
      </c>
      <c r="J9" s="316">
        <f>I9*D9</f>
        <v>1060</v>
      </c>
      <c r="K9" s="316">
        <f t="shared" si="1"/>
        <v>0</v>
      </c>
      <c r="L9" s="316">
        <f>K9*D9</f>
        <v>0</v>
      </c>
    </row>
    <row r="10" spans="1:13">
      <c r="A10" s="326">
        <v>8</v>
      </c>
      <c r="B10" s="327" t="s">
        <v>168</v>
      </c>
      <c r="C10" s="327" t="s">
        <v>169</v>
      </c>
      <c r="D10" s="328">
        <v>1</v>
      </c>
      <c r="E10" s="314" t="s">
        <v>140</v>
      </c>
      <c r="F10" s="315">
        <v>970</v>
      </c>
      <c r="G10" s="316">
        <f>F10*D10</f>
        <v>970</v>
      </c>
      <c r="H10" s="317">
        <f>D10*1000</f>
        <v>1000</v>
      </c>
      <c r="I10" s="316">
        <f t="shared" si="0"/>
        <v>970</v>
      </c>
      <c r="J10" s="316">
        <f>I10*D10</f>
        <v>970</v>
      </c>
      <c r="K10" s="316">
        <f t="shared" si="1"/>
        <v>0</v>
      </c>
      <c r="L10" s="316">
        <f>K10*D10</f>
        <v>0</v>
      </c>
    </row>
    <row r="11" spans="1:13">
      <c r="A11" s="326">
        <v>9</v>
      </c>
      <c r="B11" s="327" t="s">
        <v>170</v>
      </c>
      <c r="C11" s="327" t="s">
        <v>171</v>
      </c>
      <c r="D11" s="328">
        <v>1</v>
      </c>
      <c r="E11" s="314" t="s">
        <v>140</v>
      </c>
      <c r="F11" s="315">
        <v>970</v>
      </c>
      <c r="G11" s="316">
        <f>F11*D11</f>
        <v>970</v>
      </c>
      <c r="H11" s="317">
        <f>D11*1000</f>
        <v>1000</v>
      </c>
      <c r="I11" s="316">
        <f t="shared" si="0"/>
        <v>970</v>
      </c>
      <c r="J11" s="316">
        <f>I11*D11</f>
        <v>970</v>
      </c>
      <c r="K11" s="316">
        <f t="shared" si="1"/>
        <v>0</v>
      </c>
      <c r="L11" s="316">
        <f>K11*D11</f>
        <v>0</v>
      </c>
    </row>
    <row r="12" spans="1:13">
      <c r="A12" s="326">
        <v>10</v>
      </c>
      <c r="B12" s="327" t="s">
        <v>172</v>
      </c>
      <c r="C12" s="327" t="s">
        <v>173</v>
      </c>
      <c r="D12" s="328">
        <v>1</v>
      </c>
      <c r="E12" s="314" t="s">
        <v>140</v>
      </c>
      <c r="F12" s="315">
        <v>970</v>
      </c>
      <c r="G12" s="316">
        <f>F12*D12</f>
        <v>970</v>
      </c>
      <c r="H12" s="317">
        <f>D12*1000</f>
        <v>1000</v>
      </c>
      <c r="I12" s="316">
        <f t="shared" si="0"/>
        <v>970</v>
      </c>
      <c r="J12" s="316">
        <f>I12*D12</f>
        <v>970</v>
      </c>
      <c r="K12" s="316">
        <f t="shared" si="1"/>
        <v>0</v>
      </c>
      <c r="L12" s="316">
        <f>K12*D12</f>
        <v>0</v>
      </c>
    </row>
    <row r="13" spans="1:13">
      <c r="A13" s="326">
        <v>11</v>
      </c>
      <c r="B13" s="327" t="s">
        <v>174</v>
      </c>
      <c r="C13" s="327" t="s">
        <v>175</v>
      </c>
      <c r="D13" s="328">
        <v>1</v>
      </c>
      <c r="E13" s="314" t="s">
        <v>140</v>
      </c>
      <c r="F13" s="315">
        <v>970</v>
      </c>
      <c r="G13" s="316">
        <f>F13*D13</f>
        <v>970</v>
      </c>
      <c r="H13" s="317">
        <f>D13*1000</f>
        <v>1000</v>
      </c>
      <c r="I13" s="316">
        <f t="shared" si="0"/>
        <v>970</v>
      </c>
      <c r="J13" s="316">
        <f>I13*D13</f>
        <v>970</v>
      </c>
      <c r="K13" s="316">
        <f t="shared" si="1"/>
        <v>0</v>
      </c>
      <c r="L13" s="316">
        <f>K13*D13</f>
        <v>0</v>
      </c>
    </row>
    <row r="14" spans="1:13">
      <c r="A14" s="326"/>
      <c r="B14" s="323" t="s">
        <v>139</v>
      </c>
      <c r="C14" s="325"/>
      <c r="D14" s="328">
        <f>SUM(D3:D13)</f>
        <v>11</v>
      </c>
      <c r="F14" s="316"/>
      <c r="G14" s="316"/>
    </row>
    <row r="15" spans="1:13" s="267" customFormat="1" ht="15.6">
      <c r="A15" s="319"/>
      <c r="B15" s="319"/>
      <c r="C15" s="319"/>
      <c r="D15" s="320"/>
      <c r="F15" s="268"/>
      <c r="G15" s="268">
        <f>SUM(G3:G14)</f>
        <v>11300</v>
      </c>
      <c r="H15" s="269">
        <f>SUM(H3:H13)</f>
        <v>11000</v>
      </c>
      <c r="J15" s="268">
        <f>SUM(J3:J14)</f>
        <v>11300</v>
      </c>
      <c r="L15" s="268">
        <f>SUM(L3:L14)</f>
        <v>0</v>
      </c>
    </row>
    <row r="16" spans="1:13">
      <c r="A16" s="314"/>
      <c r="C16" s="314"/>
      <c r="D16" s="314"/>
      <c r="F16" s="316"/>
      <c r="G16" s="316"/>
    </row>
    <row r="17" spans="1:7">
      <c r="A17" s="314"/>
      <c r="C17" s="314"/>
      <c r="D17" s="314"/>
      <c r="F17" s="316"/>
      <c r="G17" s="316"/>
    </row>
    <row r="18" spans="1:7">
      <c r="A18" s="314"/>
      <c r="C18" s="314"/>
      <c r="D18" s="314"/>
      <c r="F18" s="316"/>
      <c r="G18" s="316"/>
    </row>
    <row r="19" spans="1:7">
      <c r="A19" s="314"/>
      <c r="C19" s="314"/>
      <c r="D19" s="314"/>
      <c r="F19" s="316"/>
      <c r="G19" s="316"/>
    </row>
    <row r="20" spans="1:7">
      <c r="A20" s="314"/>
      <c r="C20" s="314"/>
      <c r="D20" s="314"/>
      <c r="F20" s="316"/>
      <c r="G20" s="316"/>
    </row>
    <row r="21" spans="1:7">
      <c r="A21" s="314"/>
      <c r="C21" s="314"/>
      <c r="D21" s="314"/>
      <c r="F21" s="316"/>
      <c r="G21" s="316"/>
    </row>
    <row r="22" spans="1:7">
      <c r="A22" s="314"/>
      <c r="C22" s="314"/>
      <c r="D22" s="314"/>
      <c r="F22" s="316"/>
      <c r="G22" s="316"/>
    </row>
    <row r="23" spans="1:7">
      <c r="A23" s="314"/>
      <c r="C23" s="314"/>
      <c r="D23" s="314"/>
      <c r="F23" s="316"/>
      <c r="G23" s="316"/>
    </row>
    <row r="24" spans="1:7">
      <c r="A24" s="314"/>
      <c r="C24" s="314"/>
      <c r="D24" s="314"/>
      <c r="F24" s="316"/>
      <c r="G24" s="316"/>
    </row>
    <row r="25" spans="1:7">
      <c r="A25" s="314"/>
      <c r="C25" s="314"/>
      <c r="D25" s="314"/>
      <c r="F25" s="316"/>
      <c r="G25" s="316"/>
    </row>
    <row r="26" spans="1:7">
      <c r="A26" s="314"/>
      <c r="C26" s="314"/>
      <c r="D26" s="314"/>
      <c r="F26" s="316"/>
      <c r="G26" s="316"/>
    </row>
    <row r="27" spans="1:7">
      <c r="A27" s="314"/>
      <c r="C27" s="314"/>
      <c r="D27" s="314"/>
      <c r="F27" s="316"/>
      <c r="G27" s="316"/>
    </row>
    <row r="28" spans="1:7">
      <c r="A28" s="314"/>
      <c r="C28" s="314"/>
      <c r="D28" s="314"/>
      <c r="F28" s="316"/>
      <c r="G28" s="316"/>
    </row>
    <row r="29" spans="1:7">
      <c r="A29" s="314"/>
      <c r="C29" s="314"/>
      <c r="D29" s="314"/>
      <c r="F29" s="316"/>
      <c r="G29" s="316"/>
    </row>
    <row r="30" spans="1:7">
      <c r="A30" s="314"/>
      <c r="C30" s="314"/>
      <c r="D30" s="314"/>
      <c r="F30" s="316"/>
      <c r="G30" s="316"/>
    </row>
    <row r="31" spans="1:7">
      <c r="A31" s="314"/>
      <c r="C31" s="314"/>
      <c r="D31" s="314"/>
      <c r="F31" s="316"/>
      <c r="G31" s="316"/>
    </row>
    <row r="32" spans="1:7">
      <c r="A32" s="314"/>
      <c r="C32" s="314"/>
      <c r="D32" s="314"/>
      <c r="F32" s="316"/>
      <c r="G32" s="316"/>
    </row>
    <row r="33" spans="1:7">
      <c r="A33" s="314"/>
      <c r="C33" s="314"/>
      <c r="D33" s="314"/>
      <c r="F33" s="316"/>
      <c r="G33" s="316"/>
    </row>
    <row r="34" spans="1:7">
      <c r="A34" s="314"/>
      <c r="C34" s="314"/>
      <c r="D34" s="314"/>
      <c r="F34" s="316"/>
      <c r="G34" s="316"/>
    </row>
    <row r="35" spans="1:7">
      <c r="A35" s="314"/>
      <c r="C35" s="314"/>
      <c r="D35" s="314"/>
      <c r="F35" s="316"/>
      <c r="G35" s="316"/>
    </row>
    <row r="36" spans="1:7">
      <c r="A36" s="314"/>
      <c r="C36" s="314"/>
      <c r="D36" s="314"/>
      <c r="F36" s="316"/>
      <c r="G36" s="316"/>
    </row>
    <row r="37" spans="1:7">
      <c r="A37" s="314"/>
      <c r="C37" s="314"/>
      <c r="D37" s="314"/>
      <c r="F37" s="316"/>
      <c r="G37" s="316"/>
    </row>
    <row r="38" spans="1:7">
      <c r="A38" s="314"/>
      <c r="C38" s="314"/>
      <c r="D38" s="314"/>
      <c r="F38" s="316"/>
      <c r="G38" s="316"/>
    </row>
    <row r="39" spans="1:7">
      <c r="A39" s="314"/>
      <c r="C39" s="314"/>
      <c r="D39" s="314"/>
      <c r="F39" s="316"/>
      <c r="G39" s="316"/>
    </row>
    <row r="40" spans="1:7">
      <c r="A40" s="314"/>
      <c r="C40" s="314"/>
      <c r="D40" s="314"/>
      <c r="F40" s="316"/>
      <c r="G40" s="316"/>
    </row>
    <row r="41" spans="1:7">
      <c r="A41" s="314"/>
      <c r="C41" s="314"/>
      <c r="D41" s="314"/>
      <c r="F41" s="316"/>
      <c r="G41" s="316"/>
    </row>
    <row r="42" spans="1:7">
      <c r="A42" s="314"/>
      <c r="C42" s="314"/>
      <c r="D42" s="314"/>
      <c r="F42" s="316"/>
      <c r="G42" s="316"/>
    </row>
    <row r="43" spans="1:7">
      <c r="A43" s="314"/>
      <c r="C43" s="314"/>
      <c r="D43" s="314"/>
      <c r="F43" s="316"/>
      <c r="G43" s="316"/>
    </row>
    <row r="44" spans="1:7">
      <c r="A44" s="314"/>
      <c r="C44" s="314"/>
      <c r="D44" s="314"/>
      <c r="F44" s="316"/>
      <c r="G44" s="316"/>
    </row>
    <row r="45" spans="1:7">
      <c r="A45" s="314"/>
      <c r="C45" s="314"/>
      <c r="D45" s="314"/>
      <c r="F45" s="316"/>
      <c r="G45" s="316"/>
    </row>
    <row r="46" spans="1:7">
      <c r="A46" s="314"/>
      <c r="C46" s="314"/>
      <c r="D46" s="314"/>
      <c r="F46" s="316"/>
      <c r="G46" s="316"/>
    </row>
    <row r="47" spans="1:7">
      <c r="A47" s="314"/>
      <c r="C47" s="314"/>
      <c r="D47" s="314"/>
      <c r="F47" s="316"/>
      <c r="G47" s="316"/>
    </row>
    <row r="48" spans="1:7">
      <c r="A48" s="314"/>
      <c r="C48" s="314"/>
      <c r="D48" s="314"/>
      <c r="F48" s="316"/>
      <c r="G48" s="316"/>
    </row>
    <row r="49" spans="1:7">
      <c r="A49" s="314"/>
      <c r="C49" s="314"/>
      <c r="D49" s="314"/>
      <c r="F49" s="316"/>
      <c r="G49" s="316"/>
    </row>
    <row r="50" spans="1:7">
      <c r="A50" s="314"/>
      <c r="C50" s="314"/>
      <c r="D50" s="314"/>
      <c r="F50" s="316"/>
      <c r="G50" s="316"/>
    </row>
    <row r="51" spans="1:7">
      <c r="A51" s="314"/>
      <c r="C51" s="314"/>
      <c r="D51" s="314"/>
      <c r="F51" s="316"/>
      <c r="G51" s="316"/>
    </row>
    <row r="52" spans="1:7">
      <c r="A52" s="314"/>
      <c r="C52" s="314"/>
      <c r="D52" s="314"/>
      <c r="F52" s="316"/>
      <c r="G52" s="316"/>
    </row>
    <row r="53" spans="1:7">
      <c r="A53" s="314"/>
      <c r="C53" s="314"/>
      <c r="D53" s="314"/>
      <c r="F53" s="316"/>
      <c r="G53" s="316"/>
    </row>
    <row r="54" spans="1:7">
      <c r="A54" s="314"/>
      <c r="C54" s="314"/>
      <c r="D54" s="314"/>
      <c r="F54" s="316"/>
      <c r="G54" s="316"/>
    </row>
    <row r="55" spans="1:7">
      <c r="A55" s="314"/>
      <c r="C55" s="314"/>
      <c r="D55" s="314"/>
      <c r="F55" s="316"/>
      <c r="G55" s="316"/>
    </row>
    <row r="56" spans="1:7">
      <c r="A56" s="314"/>
      <c r="C56" s="314"/>
      <c r="D56" s="314"/>
      <c r="F56" s="316"/>
      <c r="G56" s="316"/>
    </row>
    <row r="57" spans="1:7">
      <c r="A57" s="314"/>
      <c r="C57" s="314"/>
      <c r="D57" s="314"/>
      <c r="F57" s="316"/>
      <c r="G57" s="316"/>
    </row>
    <row r="58" spans="1:7">
      <c r="A58" s="314"/>
      <c r="C58" s="314"/>
      <c r="D58" s="314"/>
      <c r="F58" s="316"/>
      <c r="G58" s="316"/>
    </row>
    <row r="59" spans="1:7">
      <c r="A59" s="314"/>
      <c r="C59" s="314"/>
      <c r="D59" s="314"/>
      <c r="F59" s="316"/>
      <c r="G59" s="316"/>
    </row>
    <row r="60" spans="1:7">
      <c r="A60" s="314"/>
      <c r="C60" s="314"/>
      <c r="D60" s="314"/>
      <c r="F60" s="316"/>
      <c r="G60" s="316"/>
    </row>
    <row r="61" spans="1:7">
      <c r="A61" s="314"/>
      <c r="C61" s="314"/>
      <c r="D61" s="314"/>
      <c r="F61" s="316"/>
      <c r="G61" s="316"/>
    </row>
    <row r="62" spans="1:7">
      <c r="A62" s="314"/>
      <c r="C62" s="314"/>
      <c r="D62" s="314"/>
      <c r="F62" s="316"/>
      <c r="G62" s="316"/>
    </row>
    <row r="63" spans="1:7">
      <c r="A63" s="314"/>
      <c r="C63" s="314"/>
      <c r="D63" s="314"/>
      <c r="F63" s="316"/>
      <c r="G63" s="316"/>
    </row>
    <row r="64" spans="1:7">
      <c r="A64" s="314"/>
      <c r="C64" s="314"/>
      <c r="D64" s="314"/>
      <c r="F64" s="316"/>
      <c r="G64" s="316"/>
    </row>
    <row r="65" spans="1:7">
      <c r="A65" s="314"/>
      <c r="C65" s="314"/>
      <c r="D65" s="314"/>
      <c r="F65" s="316"/>
      <c r="G65" s="316"/>
    </row>
    <row r="66" spans="1:7">
      <c r="A66" s="314"/>
      <c r="C66" s="314"/>
      <c r="D66" s="314"/>
      <c r="F66" s="316"/>
      <c r="G66" s="316"/>
    </row>
    <row r="67" spans="1:7">
      <c r="A67" s="314"/>
      <c r="C67" s="314"/>
      <c r="D67" s="314"/>
      <c r="F67" s="316"/>
      <c r="G67" s="316"/>
    </row>
    <row r="68" spans="1:7">
      <c r="A68" s="314"/>
      <c r="C68" s="314"/>
      <c r="D68" s="314"/>
      <c r="F68" s="316"/>
      <c r="G68" s="316"/>
    </row>
    <row r="69" spans="1:7" s="267" customFormat="1" ht="15.6">
      <c r="A69" s="314"/>
      <c r="B69" s="314"/>
      <c r="C69" s="314"/>
      <c r="D69" s="314"/>
      <c r="F69" s="268"/>
      <c r="G69" s="268">
        <f>SUM(G3:G68)</f>
        <v>22600</v>
      </c>
    </row>
    <row r="70" spans="1:7">
      <c r="A70" s="314"/>
      <c r="C70" s="314"/>
      <c r="D70" s="314"/>
    </row>
    <row r="71" spans="1:7">
      <c r="A71" s="314"/>
      <c r="C71" s="314"/>
      <c r="D71" s="314"/>
      <c r="G71" s="321"/>
    </row>
    <row r="72" spans="1:7">
      <c r="A72" s="314"/>
      <c r="C72" s="314"/>
      <c r="D72" s="314"/>
    </row>
    <row r="73" spans="1:7">
      <c r="A73" s="314"/>
      <c r="C73" s="314"/>
      <c r="D73" s="314"/>
    </row>
    <row r="74" spans="1:7">
      <c r="A74" s="314"/>
      <c r="C74" s="314"/>
      <c r="D74" s="314"/>
    </row>
    <row r="75" spans="1:7">
      <c r="A75" s="314"/>
      <c r="C75" s="314"/>
      <c r="D75" s="314"/>
    </row>
    <row r="76" spans="1:7">
      <c r="A76" s="314"/>
      <c r="C76" s="314"/>
      <c r="D76" s="314"/>
    </row>
    <row r="77" spans="1:7">
      <c r="A77" s="314"/>
      <c r="C77" s="314"/>
      <c r="D77" s="314"/>
    </row>
    <row r="78" spans="1:7">
      <c r="A78" s="314"/>
      <c r="C78" s="314"/>
      <c r="D78" s="314"/>
    </row>
    <row r="79" spans="1:7">
      <c r="A79" s="314"/>
      <c r="C79" s="314"/>
      <c r="D79" s="314"/>
    </row>
    <row r="80" spans="1:7">
      <c r="A80" s="314"/>
      <c r="C80" s="314"/>
      <c r="D80" s="314"/>
    </row>
    <row r="81" spans="1:4">
      <c r="A81" s="314"/>
      <c r="C81" s="314"/>
      <c r="D81" s="314"/>
    </row>
    <row r="82" spans="1:4">
      <c r="A82" s="314"/>
      <c r="C82" s="314"/>
      <c r="D82" s="314"/>
    </row>
    <row r="83" spans="1:4">
      <c r="A83" s="314"/>
      <c r="C83" s="314"/>
      <c r="D83" s="314"/>
    </row>
    <row r="84" spans="1:4">
      <c r="A84" s="314"/>
      <c r="C84" s="314"/>
      <c r="D84" s="314"/>
    </row>
    <row r="85" spans="1:4">
      <c r="A85" s="314"/>
      <c r="C85" s="314"/>
      <c r="D85" s="314"/>
    </row>
    <row r="86" spans="1:4">
      <c r="A86" s="314"/>
      <c r="C86" s="314"/>
      <c r="D86" s="314"/>
    </row>
    <row r="87" spans="1:4">
      <c r="A87" s="314"/>
      <c r="C87" s="314"/>
      <c r="D87" s="314"/>
    </row>
    <row r="88" spans="1:4">
      <c r="A88" s="314"/>
      <c r="C88" s="314"/>
      <c r="D88" s="314"/>
    </row>
    <row r="89" spans="1:4">
      <c r="A89" s="314"/>
      <c r="C89" s="314"/>
      <c r="D89" s="314"/>
    </row>
    <row r="90" spans="1:4">
      <c r="A90" s="314"/>
      <c r="C90" s="314"/>
      <c r="D90" s="314"/>
    </row>
    <row r="91" spans="1:4">
      <c r="A91" s="314"/>
      <c r="C91" s="314"/>
      <c r="D91" s="314"/>
    </row>
    <row r="92" spans="1:4">
      <c r="A92" s="314"/>
      <c r="C92" s="314"/>
      <c r="D92" s="314"/>
    </row>
    <row r="93" spans="1:4">
      <c r="A93" s="314"/>
      <c r="C93" s="314"/>
      <c r="D93" s="314"/>
    </row>
    <row r="94" spans="1:4">
      <c r="A94" s="314"/>
      <c r="C94" s="314"/>
      <c r="D94" s="314"/>
    </row>
    <row r="95" spans="1:4">
      <c r="A95" s="314"/>
      <c r="C95" s="314"/>
      <c r="D95" s="314"/>
    </row>
    <row r="96" spans="1:4">
      <c r="A96" s="314"/>
      <c r="C96" s="314"/>
      <c r="D96" s="314"/>
    </row>
    <row r="97" spans="1:4">
      <c r="A97" s="314"/>
      <c r="C97" s="314"/>
      <c r="D97" s="314"/>
    </row>
    <row r="98" spans="1:4">
      <c r="A98" s="314"/>
      <c r="C98" s="314"/>
      <c r="D98" s="314"/>
    </row>
    <row r="99" spans="1:4">
      <c r="A99" s="314"/>
      <c r="C99" s="314"/>
      <c r="D99" s="314"/>
    </row>
    <row r="100" spans="1:4">
      <c r="A100" s="314"/>
      <c r="C100" s="314"/>
      <c r="D100" s="314"/>
    </row>
    <row r="101" spans="1:4">
      <c r="A101" s="314"/>
      <c r="C101" s="314"/>
      <c r="D101" s="314"/>
    </row>
    <row r="102" spans="1:4">
      <c r="A102" s="314"/>
      <c r="C102" s="314"/>
      <c r="D102" s="314"/>
    </row>
    <row r="103" spans="1:4">
      <c r="A103" s="314"/>
      <c r="C103" s="314"/>
      <c r="D103" s="314"/>
    </row>
    <row r="104" spans="1:4">
      <c r="A104" s="314"/>
      <c r="C104" s="314"/>
      <c r="D104" s="314"/>
    </row>
    <row r="105" spans="1:4">
      <c r="A105" s="314"/>
      <c r="C105" s="314"/>
      <c r="D105" s="314"/>
    </row>
    <row r="106" spans="1:4">
      <c r="A106" s="314"/>
      <c r="C106" s="314"/>
      <c r="D106" s="314"/>
    </row>
    <row r="107" spans="1:4">
      <c r="A107" s="314"/>
      <c r="C107" s="314"/>
      <c r="D107" s="314"/>
    </row>
    <row r="108" spans="1:4">
      <c r="A108" s="314"/>
      <c r="C108" s="314"/>
      <c r="D108" s="314"/>
    </row>
    <row r="109" spans="1:4">
      <c r="A109" s="314"/>
      <c r="C109" s="314"/>
      <c r="D109" s="314"/>
    </row>
    <row r="110" spans="1:4">
      <c r="A110" s="314"/>
      <c r="C110" s="314"/>
      <c r="D110" s="314"/>
    </row>
    <row r="111" spans="1:4">
      <c r="A111" s="314"/>
      <c r="C111" s="314"/>
      <c r="D111" s="314"/>
    </row>
    <row r="112" spans="1:4">
      <c r="A112" s="314"/>
      <c r="C112" s="314"/>
      <c r="D112" s="314"/>
    </row>
    <row r="113" spans="1:4">
      <c r="A113" s="314"/>
      <c r="C113" s="314"/>
      <c r="D113" s="314"/>
    </row>
    <row r="114" spans="1:4">
      <c r="A114" s="314"/>
      <c r="C114" s="314"/>
      <c r="D114" s="314"/>
    </row>
    <row r="115" spans="1:4">
      <c r="A115" s="314"/>
      <c r="C115" s="314"/>
      <c r="D115" s="314"/>
    </row>
    <row r="116" spans="1:4">
      <c r="A116" s="314"/>
      <c r="C116" s="314"/>
      <c r="D116" s="314"/>
    </row>
    <row r="117" spans="1:4">
      <c r="A117" s="314"/>
      <c r="C117" s="314"/>
      <c r="D117" s="314"/>
    </row>
    <row r="118" spans="1:4">
      <c r="A118" s="314"/>
      <c r="C118" s="314"/>
      <c r="D118" s="314"/>
    </row>
    <row r="119" spans="1:4">
      <c r="A119" s="314"/>
      <c r="C119" s="314"/>
      <c r="D119" s="314"/>
    </row>
    <row r="120" spans="1:4">
      <c r="A120" s="314"/>
      <c r="C120" s="314"/>
      <c r="D120" s="314"/>
    </row>
    <row r="121" spans="1:4">
      <c r="A121" s="314"/>
      <c r="C121" s="314"/>
      <c r="D121" s="314"/>
    </row>
    <row r="122" spans="1:4">
      <c r="A122" s="314"/>
      <c r="C122" s="314"/>
      <c r="D122" s="314"/>
    </row>
    <row r="123" spans="1:4">
      <c r="A123" s="314"/>
      <c r="C123" s="314"/>
      <c r="D123" s="314"/>
    </row>
    <row r="124" spans="1:4">
      <c r="A124" s="314"/>
      <c r="C124" s="314"/>
      <c r="D124" s="314"/>
    </row>
    <row r="125" spans="1:4">
      <c r="A125" s="314"/>
      <c r="C125" s="314"/>
      <c r="D125" s="314"/>
    </row>
    <row r="126" spans="1:4">
      <c r="A126" s="314"/>
      <c r="C126" s="314"/>
      <c r="D126" s="314"/>
    </row>
    <row r="127" spans="1:4">
      <c r="A127" s="314"/>
      <c r="C127" s="314"/>
      <c r="D127" s="314"/>
    </row>
    <row r="128" spans="1:4">
      <c r="A128" s="314"/>
      <c r="C128" s="314"/>
      <c r="D128" s="314"/>
    </row>
    <row r="129" spans="1:4">
      <c r="A129" s="314"/>
      <c r="C129" s="314"/>
      <c r="D129" s="314"/>
    </row>
    <row r="130" spans="1:4">
      <c r="A130" s="314"/>
      <c r="C130" s="314"/>
      <c r="D130" s="314"/>
    </row>
    <row r="131" spans="1:4">
      <c r="A131" s="314"/>
      <c r="C131" s="314"/>
      <c r="D131" s="314"/>
    </row>
    <row r="132" spans="1:4">
      <c r="A132" s="314"/>
      <c r="C132" s="314"/>
      <c r="D132" s="314"/>
    </row>
    <row r="133" spans="1:4">
      <c r="A133" s="314"/>
      <c r="C133" s="314"/>
      <c r="D133" s="314"/>
    </row>
    <row r="134" spans="1:4">
      <c r="A134" s="314"/>
      <c r="C134" s="314"/>
      <c r="D134" s="314"/>
    </row>
    <row r="135" spans="1:4">
      <c r="A135" s="314"/>
      <c r="C135" s="314"/>
      <c r="D135" s="314"/>
    </row>
    <row r="136" spans="1:4">
      <c r="A136" s="314"/>
      <c r="C136" s="314"/>
      <c r="D136" s="314"/>
    </row>
    <row r="137" spans="1:4">
      <c r="A137" s="314"/>
      <c r="C137" s="314"/>
      <c r="D137" s="314"/>
    </row>
    <row r="138" spans="1:4">
      <c r="A138" s="314"/>
      <c r="C138" s="314"/>
      <c r="D138" s="314"/>
    </row>
    <row r="139" spans="1:4">
      <c r="A139" s="314"/>
      <c r="C139" s="314"/>
      <c r="D139" s="314"/>
    </row>
    <row r="140" spans="1:4">
      <c r="A140" s="314"/>
      <c r="C140" s="314"/>
      <c r="D140" s="314"/>
    </row>
    <row r="141" spans="1:4">
      <c r="A141" s="314"/>
      <c r="C141" s="314"/>
      <c r="D141" s="314"/>
    </row>
    <row r="142" spans="1:4">
      <c r="A142" s="314"/>
      <c r="C142" s="314"/>
      <c r="D142" s="314"/>
    </row>
    <row r="143" spans="1:4">
      <c r="A143" s="314"/>
      <c r="C143" s="314"/>
      <c r="D143" s="314"/>
    </row>
    <row r="144" spans="1:4">
      <c r="A144" s="314"/>
      <c r="C144" s="314"/>
      <c r="D144" s="314"/>
    </row>
    <row r="145" spans="1:4">
      <c r="A145" s="314"/>
      <c r="C145" s="314"/>
      <c r="D145" s="314"/>
    </row>
    <row r="146" spans="1:4">
      <c r="A146" s="314"/>
      <c r="C146" s="314"/>
      <c r="D146" s="314"/>
    </row>
    <row r="147" spans="1:4">
      <c r="A147" s="314"/>
      <c r="C147" s="314"/>
      <c r="D147" s="314"/>
    </row>
    <row r="148" spans="1:4">
      <c r="A148" s="314"/>
      <c r="C148" s="314"/>
      <c r="D148" s="314"/>
    </row>
    <row r="149" spans="1:4">
      <c r="A149" s="314"/>
      <c r="C149" s="314"/>
      <c r="D149" s="314"/>
    </row>
    <row r="150" spans="1:4">
      <c r="A150" s="314"/>
      <c r="C150" s="314"/>
      <c r="D150" s="314"/>
    </row>
    <row r="151" spans="1:4">
      <c r="A151" s="314"/>
      <c r="C151" s="314"/>
      <c r="D151" s="314"/>
    </row>
    <row r="152" spans="1:4">
      <c r="A152" s="314"/>
      <c r="C152" s="314"/>
      <c r="D152" s="314"/>
    </row>
    <row r="153" spans="1:4">
      <c r="A153" s="314"/>
      <c r="C153" s="314"/>
      <c r="D153" s="314"/>
    </row>
    <row r="154" spans="1:4">
      <c r="A154" s="314"/>
      <c r="C154" s="314"/>
      <c r="D154" s="314"/>
    </row>
    <row r="155" spans="1:4">
      <c r="A155" s="314"/>
      <c r="C155" s="314"/>
      <c r="D155" s="314"/>
    </row>
    <row r="156" spans="1:4">
      <c r="A156" s="314"/>
      <c r="C156" s="314"/>
      <c r="D156" s="314"/>
    </row>
    <row r="157" spans="1:4">
      <c r="A157" s="314"/>
      <c r="C157" s="314"/>
      <c r="D157" s="314"/>
    </row>
    <row r="158" spans="1:4">
      <c r="A158" s="314"/>
      <c r="C158" s="314"/>
      <c r="D158" s="314"/>
    </row>
    <row r="159" spans="1:4">
      <c r="A159" s="314"/>
      <c r="C159" s="314"/>
      <c r="D159" s="314"/>
    </row>
    <row r="160" spans="1:4">
      <c r="A160" s="314"/>
      <c r="C160" s="314"/>
      <c r="D160" s="314"/>
    </row>
    <row r="161" spans="1:4">
      <c r="A161" s="314"/>
      <c r="C161" s="314"/>
      <c r="D161" s="314"/>
    </row>
    <row r="162" spans="1:4">
      <c r="A162" s="314"/>
      <c r="C162" s="314"/>
      <c r="D162" s="314"/>
    </row>
    <row r="163" spans="1:4">
      <c r="A163" s="314"/>
      <c r="C163" s="314"/>
      <c r="D163" s="314"/>
    </row>
    <row r="164" spans="1:4">
      <c r="A164" s="314"/>
      <c r="C164" s="314"/>
      <c r="D164" s="314"/>
    </row>
    <row r="165" spans="1:4">
      <c r="A165" s="314"/>
      <c r="C165" s="314"/>
      <c r="D165" s="314"/>
    </row>
    <row r="166" spans="1:4">
      <c r="A166" s="314"/>
      <c r="C166" s="314"/>
      <c r="D166" s="314"/>
    </row>
    <row r="167" spans="1:4">
      <c r="A167" s="314"/>
      <c r="C167" s="314"/>
      <c r="D167" s="314"/>
    </row>
    <row r="168" spans="1:4">
      <c r="A168" s="314"/>
      <c r="C168" s="314"/>
      <c r="D168" s="314"/>
    </row>
    <row r="169" spans="1:4">
      <c r="A169" s="314"/>
      <c r="C169" s="314"/>
      <c r="D169" s="314"/>
    </row>
    <row r="170" spans="1:4">
      <c r="A170" s="314"/>
      <c r="C170" s="314"/>
      <c r="D170" s="314"/>
    </row>
    <row r="171" spans="1:4">
      <c r="A171" s="314"/>
      <c r="C171" s="314"/>
      <c r="D171" s="314"/>
    </row>
    <row r="172" spans="1:4">
      <c r="A172" s="314"/>
      <c r="C172" s="314"/>
      <c r="D172" s="314"/>
    </row>
    <row r="173" spans="1:4">
      <c r="A173" s="314"/>
      <c r="C173" s="314"/>
      <c r="D173" s="314"/>
    </row>
    <row r="174" spans="1:4">
      <c r="A174" s="314"/>
      <c r="C174" s="314"/>
      <c r="D174" s="314"/>
    </row>
    <row r="175" spans="1:4">
      <c r="A175" s="314"/>
      <c r="C175" s="314"/>
      <c r="D175" s="314"/>
    </row>
    <row r="176" spans="1:4">
      <c r="A176" s="314"/>
      <c r="C176" s="314"/>
      <c r="D176" s="314"/>
    </row>
    <row r="177" spans="1:4">
      <c r="A177" s="314"/>
      <c r="C177" s="314"/>
      <c r="D177" s="314"/>
    </row>
  </sheetData>
  <mergeCells count="2">
    <mergeCell ref="B14:C14"/>
    <mergeCell ref="A2:D2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F45"/>
  <sheetViews>
    <sheetView showGridLines="0" zoomScale="70" zoomScaleNormal="70" workbookViewId="0">
      <selection activeCell="G11" sqref="G11"/>
    </sheetView>
  </sheetViews>
  <sheetFormatPr defaultColWidth="9" defaultRowHeight="15"/>
  <cols>
    <col min="1" max="1" width="9" style="138"/>
    <col min="2" max="3" width="12.8984375" style="138" customWidth="1"/>
    <col min="4" max="4" width="18.19921875" style="138" customWidth="1"/>
    <col min="5" max="5" width="20.69921875" style="138" customWidth="1"/>
    <col min="6" max="6" width="14.69921875" style="138" customWidth="1"/>
    <col min="7" max="7" width="33.19921875" style="138" customWidth="1"/>
    <col min="8" max="8" width="16.59765625" style="138" customWidth="1"/>
    <col min="9" max="10" width="14.69921875" style="138" customWidth="1"/>
    <col min="11" max="11" width="20.09765625" style="138" customWidth="1"/>
    <col min="12" max="12" width="14.69921875" style="138" customWidth="1"/>
    <col min="13" max="13" width="18.5" style="138" customWidth="1"/>
    <col min="14" max="14" width="18.5" style="139" customWidth="1"/>
    <col min="15" max="16" width="16.5" style="138" customWidth="1"/>
    <col min="17" max="17" width="24.69921875" style="140" customWidth="1"/>
    <col min="18" max="18" width="24.3984375" style="138" customWidth="1"/>
    <col min="19" max="19" width="7" style="138" customWidth="1"/>
    <col min="20" max="22" width="14.69921875" style="138" customWidth="1"/>
    <col min="23" max="23" width="21.5" style="138" customWidth="1"/>
    <col min="24" max="24" width="19.3984375" style="138" customWidth="1"/>
    <col min="25" max="25" width="10.8984375" style="138" customWidth="1"/>
    <col min="26" max="27" width="17.09765625" style="138" customWidth="1"/>
    <col min="28" max="28" width="20.19921875" style="138" customWidth="1"/>
    <col min="29" max="29" width="7" style="138" customWidth="1"/>
    <col min="30" max="30" width="17.69921875" style="138" customWidth="1"/>
    <col min="31" max="31" width="12.5" style="138" customWidth="1"/>
    <col min="32" max="32" width="18.69921875" style="138" customWidth="1"/>
    <col min="33" max="33" width="13.3984375" style="138" customWidth="1"/>
    <col min="34" max="34" width="20.5" style="138" customWidth="1"/>
    <col min="35" max="35" width="18.09765625" style="138" customWidth="1"/>
    <col min="36" max="36" width="21.5" style="138" customWidth="1"/>
    <col min="37" max="37" width="18.69921875" style="138" customWidth="1"/>
    <col min="38" max="39" width="17.09765625" style="138" customWidth="1"/>
    <col min="40" max="40" width="19.69921875" style="138" customWidth="1"/>
    <col min="41" max="41" width="23.5" style="138" customWidth="1"/>
    <col min="42" max="42" width="21.8984375" style="138" customWidth="1"/>
    <col min="43" max="43" width="9" style="138"/>
    <col min="44" max="44" width="20.19921875" style="138" customWidth="1"/>
    <col min="45" max="45" width="18.09765625" style="138" customWidth="1"/>
    <col min="46" max="46" width="14.5" style="138" customWidth="1"/>
    <col min="47" max="47" width="8.19921875" style="138" customWidth="1"/>
    <col min="48" max="48" width="18.09765625" style="138" customWidth="1"/>
    <col min="49" max="49" width="8.8984375" style="138" customWidth="1"/>
    <col min="50" max="50" width="16.69921875" style="138" customWidth="1"/>
    <col min="51" max="51" width="19" style="138" customWidth="1"/>
    <col min="52" max="52" width="16.69921875" style="138" customWidth="1"/>
    <col min="53" max="53" width="19" style="138" customWidth="1"/>
    <col min="54" max="54" width="23.09765625" style="138" customWidth="1"/>
    <col min="55" max="55" width="9" style="138"/>
    <col min="56" max="56" width="22.09765625" style="138" customWidth="1"/>
    <col min="57" max="57" width="19.8984375" style="138" customWidth="1"/>
    <col min="58" max="58" width="19.5" style="138" customWidth="1"/>
    <col min="59" max="16384" width="9" style="138"/>
  </cols>
  <sheetData>
    <row r="1" spans="2:54"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200"/>
      <c r="O1" s="141"/>
      <c r="P1" s="141"/>
      <c r="Q1" s="217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R1" s="169"/>
      <c r="AS1" s="169"/>
      <c r="AT1" s="169"/>
      <c r="AU1" s="169"/>
      <c r="AV1" s="169"/>
      <c r="AW1" s="169"/>
      <c r="AX1" s="169"/>
      <c r="AY1" s="169"/>
      <c r="AZ1" s="169"/>
      <c r="BA1" s="169"/>
      <c r="BB1" s="169"/>
    </row>
    <row r="2" spans="2:54" ht="33">
      <c r="B2" s="142" t="s">
        <v>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201"/>
      <c r="O2" s="143"/>
      <c r="P2" s="143"/>
      <c r="Q2" s="218"/>
      <c r="R2" s="143"/>
      <c r="S2" s="143"/>
      <c r="T2" s="143"/>
      <c r="U2" s="143"/>
      <c r="V2" s="143"/>
      <c r="W2" s="143"/>
      <c r="X2" s="141"/>
      <c r="Y2" s="141"/>
      <c r="Z2" s="141"/>
      <c r="AA2" s="141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</row>
    <row r="3" spans="2:54" ht="18" customHeight="1"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201"/>
      <c r="O3" s="143"/>
      <c r="P3" s="143"/>
      <c r="Q3" s="218"/>
      <c r="R3" s="143"/>
      <c r="S3" s="143"/>
      <c r="T3" s="143"/>
      <c r="U3" s="143"/>
      <c r="V3" s="143"/>
      <c r="W3" s="143"/>
      <c r="X3" s="141"/>
      <c r="Y3" s="141"/>
      <c r="Z3" s="141"/>
      <c r="AA3" s="141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</row>
    <row r="4" spans="2:54" ht="15.6"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202"/>
      <c r="N4" s="203"/>
      <c r="O4" s="169"/>
      <c r="P4" s="169"/>
      <c r="Q4" s="219"/>
      <c r="R4" s="169"/>
      <c r="S4" s="169"/>
      <c r="T4" s="169"/>
      <c r="U4" s="141"/>
      <c r="V4" s="141"/>
      <c r="W4" s="141"/>
      <c r="X4" s="141"/>
      <c r="Y4" s="141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</row>
    <row r="5" spans="2:54" ht="15.6">
      <c r="B5" s="144" t="s">
        <v>4</v>
      </c>
      <c r="C5" s="145" t="s">
        <v>5</v>
      </c>
      <c r="D5" s="145" t="s">
        <v>6</v>
      </c>
      <c r="E5" s="146" t="s">
        <v>7</v>
      </c>
      <c r="F5" s="147"/>
      <c r="G5" s="148" t="s">
        <v>8</v>
      </c>
      <c r="H5" s="149">
        <v>0</v>
      </c>
      <c r="I5" s="169"/>
      <c r="J5" s="169"/>
      <c r="K5" s="169"/>
      <c r="L5" s="169"/>
      <c r="M5" s="169"/>
      <c r="N5" s="204"/>
      <c r="O5" s="169"/>
      <c r="P5" s="169"/>
      <c r="Q5" s="219"/>
      <c r="R5" s="169"/>
      <c r="S5" s="169"/>
      <c r="T5" s="169"/>
      <c r="U5" s="220"/>
      <c r="V5" s="220"/>
      <c r="W5" s="220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</row>
    <row r="6" spans="2:54" ht="15.6">
      <c r="B6" s="150" t="s">
        <v>9</v>
      </c>
      <c r="C6" s="150" t="s">
        <v>10</v>
      </c>
      <c r="D6" s="261">
        <f>INVOICE!J15</f>
        <v>11300</v>
      </c>
      <c r="E6" s="151">
        <f>D6*H7</f>
        <v>61924.000000000007</v>
      </c>
      <c r="F6" s="152"/>
      <c r="G6" s="153" t="s">
        <v>11</v>
      </c>
      <c r="H6" s="154">
        <f>K38</f>
        <v>11000</v>
      </c>
      <c r="I6" s="169"/>
      <c r="J6" s="169"/>
      <c r="K6" s="169"/>
      <c r="L6" s="169"/>
      <c r="M6" s="169"/>
      <c r="N6" s="204"/>
      <c r="O6" s="205"/>
      <c r="P6" s="205"/>
      <c r="Q6" s="221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</row>
    <row r="7" spans="2:54" ht="15.6">
      <c r="B7" s="155" t="s">
        <v>12</v>
      </c>
      <c r="C7" s="155" t="s">
        <v>10</v>
      </c>
      <c r="D7" s="156">
        <f>2550+(D6*0.3%)</f>
        <v>2583.9</v>
      </c>
      <c r="E7" s="157">
        <f>D7*H7</f>
        <v>14159.772000000001</v>
      </c>
      <c r="F7" s="152"/>
      <c r="G7" s="158" t="s">
        <v>13</v>
      </c>
      <c r="H7" s="159">
        <v>5.48</v>
      </c>
      <c r="I7" s="169"/>
      <c r="J7" s="205"/>
      <c r="K7" s="205"/>
      <c r="L7" s="141"/>
      <c r="M7" s="141"/>
      <c r="N7" s="200"/>
      <c r="O7" s="141"/>
      <c r="P7" s="141"/>
      <c r="Q7" s="217"/>
      <c r="R7" s="141"/>
      <c r="S7" s="141"/>
      <c r="T7" s="141"/>
      <c r="U7" s="141"/>
      <c r="V7" s="141"/>
      <c r="W7" s="141"/>
      <c r="X7" s="141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</row>
    <row r="8" spans="2:54" ht="15.6">
      <c r="B8" s="155" t="s">
        <v>14</v>
      </c>
      <c r="C8" s="155" t="s">
        <v>10</v>
      </c>
      <c r="D8" s="160">
        <v>0</v>
      </c>
      <c r="E8" s="161">
        <f>D8*H7</f>
        <v>0</v>
      </c>
      <c r="F8" s="152"/>
      <c r="G8" s="162" t="s">
        <v>15</v>
      </c>
      <c r="H8" s="163">
        <v>154.22999999999999</v>
      </c>
      <c r="I8" s="169"/>
      <c r="J8" s="205"/>
      <c r="K8" s="205"/>
      <c r="L8" s="141"/>
      <c r="M8" s="141"/>
      <c r="N8" s="200"/>
      <c r="O8" s="141"/>
      <c r="P8" s="141"/>
      <c r="Q8" s="217"/>
      <c r="R8" s="141"/>
      <c r="S8" s="141"/>
      <c r="T8" s="141"/>
      <c r="U8" s="141"/>
      <c r="V8" s="141"/>
      <c r="W8" s="141"/>
      <c r="X8" s="141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R8" s="169"/>
      <c r="AS8" s="169"/>
      <c r="AT8" s="169"/>
      <c r="AU8" s="169"/>
      <c r="AV8" s="169"/>
      <c r="AW8" s="169"/>
      <c r="AX8" s="169"/>
      <c r="AY8" s="169"/>
      <c r="AZ8" s="169"/>
      <c r="BA8" s="169"/>
      <c r="BB8" s="169"/>
    </row>
    <row r="9" spans="2:54" ht="15.6">
      <c r="B9" s="164" t="s">
        <v>16</v>
      </c>
      <c r="C9" s="164" t="s">
        <v>10</v>
      </c>
      <c r="D9" s="165">
        <f>SUM(D6:D8)</f>
        <v>13883.9</v>
      </c>
      <c r="E9" s="166">
        <f>SUM(E6:E8)</f>
        <v>76083.772000000012</v>
      </c>
      <c r="F9" s="152"/>
      <c r="G9" s="167" t="s">
        <v>17</v>
      </c>
      <c r="H9" s="168">
        <v>0</v>
      </c>
      <c r="I9" s="169"/>
      <c r="J9" s="205"/>
      <c r="K9" s="205"/>
      <c r="L9" s="175"/>
      <c r="M9" s="175"/>
      <c r="N9" s="206"/>
      <c r="O9" s="175"/>
      <c r="P9" s="175"/>
      <c r="Q9" s="222"/>
      <c r="R9" s="223"/>
      <c r="S9" s="223"/>
      <c r="T9" s="141"/>
      <c r="U9" s="141"/>
      <c r="V9" s="141"/>
      <c r="W9" s="141"/>
      <c r="X9" s="141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</row>
    <row r="10" spans="2:54">
      <c r="B10" s="169"/>
      <c r="C10" s="169"/>
      <c r="D10" s="169"/>
      <c r="E10" s="169"/>
      <c r="F10" s="152"/>
      <c r="G10" s="169"/>
      <c r="H10" s="169"/>
      <c r="I10" s="205"/>
      <c r="J10" s="205"/>
      <c r="K10" s="205"/>
      <c r="L10" s="141"/>
      <c r="M10" s="141"/>
      <c r="N10" s="200"/>
      <c r="O10" s="141"/>
      <c r="P10" s="141"/>
      <c r="Q10" s="217"/>
      <c r="R10" s="141"/>
      <c r="S10" s="141"/>
      <c r="T10" s="141"/>
      <c r="U10" s="141"/>
      <c r="V10" s="141"/>
      <c r="W10" s="141"/>
      <c r="X10" s="141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</row>
    <row r="11" spans="2:54"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200"/>
      <c r="O11" s="141"/>
      <c r="P11" s="141"/>
      <c r="Q11" s="217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</row>
    <row r="12" spans="2:54" ht="15.6">
      <c r="B12" s="276" t="s">
        <v>18</v>
      </c>
      <c r="C12" s="277"/>
      <c r="D12" s="277"/>
      <c r="E12" s="278"/>
      <c r="F12" s="141"/>
      <c r="G12" s="141"/>
      <c r="H12" s="141"/>
      <c r="I12" s="141"/>
      <c r="J12" s="141"/>
      <c r="K12" s="141"/>
      <c r="L12" s="141"/>
      <c r="M12" s="141"/>
      <c r="N12" s="200"/>
      <c r="O12" s="141"/>
      <c r="P12" s="141"/>
      <c r="Q12" s="217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</row>
    <row r="13" spans="2:54">
      <c r="B13" s="170" t="s">
        <v>19</v>
      </c>
      <c r="C13" s="171"/>
      <c r="D13" s="171"/>
      <c r="E13" s="172">
        <v>0</v>
      </c>
      <c r="F13" s="141"/>
      <c r="G13" s="173"/>
      <c r="H13" s="173"/>
      <c r="I13" s="173"/>
      <c r="J13" s="141"/>
      <c r="K13" s="141"/>
      <c r="L13" s="141"/>
      <c r="M13" s="141"/>
      <c r="N13" s="200"/>
      <c r="O13" s="141"/>
      <c r="P13" s="141"/>
      <c r="Q13" s="217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R13" s="169"/>
      <c r="AS13" s="169"/>
      <c r="AT13" s="169"/>
      <c r="AU13" s="169"/>
      <c r="AV13" s="169"/>
      <c r="AW13" s="169"/>
      <c r="AX13" s="169"/>
      <c r="AY13" s="169"/>
      <c r="AZ13" s="169"/>
      <c r="BA13" s="169"/>
      <c r="BB13" s="169"/>
    </row>
    <row r="14" spans="2:54" ht="15.6">
      <c r="B14" s="174" t="s">
        <v>20</v>
      </c>
      <c r="C14" s="175"/>
      <c r="D14" s="175"/>
      <c r="E14" s="176">
        <v>0</v>
      </c>
      <c r="F14" s="141"/>
      <c r="G14" s="177"/>
      <c r="H14" s="173"/>
      <c r="I14" s="173"/>
      <c r="J14" s="141"/>
      <c r="K14" s="141"/>
      <c r="L14" s="141"/>
      <c r="M14" s="141"/>
      <c r="N14" s="200"/>
      <c r="O14" s="141"/>
      <c r="P14" s="141"/>
      <c r="Q14" s="217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  <c r="AP14" s="205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</row>
    <row r="15" spans="2:54" ht="15.6">
      <c r="B15" s="174" t="s">
        <v>21</v>
      </c>
      <c r="C15" s="175"/>
      <c r="D15" s="175"/>
      <c r="E15" s="176">
        <v>0</v>
      </c>
      <c r="F15" s="141"/>
      <c r="G15" s="177"/>
      <c r="H15" s="178"/>
      <c r="I15" s="173"/>
      <c r="J15" s="141"/>
      <c r="K15" s="141"/>
      <c r="L15" s="141"/>
      <c r="M15" s="141"/>
      <c r="N15" s="200"/>
      <c r="O15" s="141"/>
      <c r="P15" s="141"/>
      <c r="Q15" s="217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</row>
    <row r="16" spans="2:54" ht="15.6">
      <c r="B16" s="279" t="s">
        <v>22</v>
      </c>
      <c r="C16" s="280"/>
      <c r="D16" s="281"/>
      <c r="E16" s="176">
        <v>3000</v>
      </c>
      <c r="F16" s="141"/>
      <c r="G16" s="182"/>
      <c r="H16" s="183"/>
      <c r="I16" s="173"/>
      <c r="J16" s="141"/>
      <c r="K16" s="141"/>
      <c r="L16" s="141"/>
      <c r="M16" s="141"/>
      <c r="N16" s="200"/>
      <c r="O16" s="141"/>
      <c r="P16" s="141"/>
      <c r="Q16" s="217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</row>
    <row r="17" spans="1:58">
      <c r="B17" s="179" t="s">
        <v>23</v>
      </c>
      <c r="C17" s="180"/>
      <c r="D17" s="181"/>
      <c r="E17" s="176">
        <v>1000</v>
      </c>
      <c r="F17" s="141"/>
      <c r="G17" s="173"/>
      <c r="H17" s="173"/>
      <c r="I17" s="141"/>
      <c r="J17" s="141"/>
      <c r="K17" s="141"/>
      <c r="L17" s="141"/>
      <c r="M17" s="141"/>
      <c r="N17" s="200"/>
      <c r="O17" s="141"/>
      <c r="P17" s="141"/>
      <c r="Q17" s="217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5"/>
      <c r="AP17" s="205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</row>
    <row r="18" spans="1:58">
      <c r="B18" s="179"/>
      <c r="C18" s="180"/>
      <c r="D18" s="181"/>
      <c r="E18" s="176">
        <v>0</v>
      </c>
      <c r="F18" s="141"/>
      <c r="G18" s="173"/>
      <c r="H18" s="173"/>
      <c r="I18" s="141"/>
      <c r="J18" s="141"/>
      <c r="K18" s="141"/>
      <c r="L18" s="141"/>
      <c r="M18" s="141"/>
      <c r="N18" s="200"/>
      <c r="O18" s="141"/>
      <c r="P18" s="141"/>
      <c r="Q18" s="217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5"/>
      <c r="AO18" s="205"/>
      <c r="AP18" s="205"/>
      <c r="AR18" s="169"/>
      <c r="AS18" s="169"/>
      <c r="AT18" s="169"/>
      <c r="AU18" s="169"/>
      <c r="AV18" s="169"/>
      <c r="AW18" s="169"/>
      <c r="AX18" s="169"/>
      <c r="AY18" s="169"/>
      <c r="AZ18" s="169"/>
      <c r="BA18" s="169"/>
      <c r="BB18" s="169"/>
    </row>
    <row r="19" spans="1:58">
      <c r="B19" s="282" t="s">
        <v>24</v>
      </c>
      <c r="C19" s="283"/>
      <c r="D19" s="284"/>
      <c r="E19" s="184">
        <f>SUM(E13:E18)</f>
        <v>4000</v>
      </c>
      <c r="F19" s="185"/>
      <c r="G19" s="173"/>
      <c r="H19" s="141"/>
      <c r="I19" s="141"/>
      <c r="J19" s="141"/>
      <c r="K19" s="141"/>
      <c r="L19" s="141"/>
      <c r="M19" s="141"/>
      <c r="N19" s="200"/>
      <c r="O19" s="141"/>
      <c r="P19" s="141"/>
      <c r="Q19" s="217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</row>
    <row r="20" spans="1:58" ht="15.6">
      <c r="B20" s="141"/>
      <c r="C20" s="141"/>
      <c r="D20" s="186"/>
      <c r="E20" s="186"/>
      <c r="F20" s="186"/>
      <c r="G20" s="187"/>
      <c r="H20" s="186"/>
      <c r="I20" s="186"/>
      <c r="J20" s="186"/>
      <c r="K20" s="186"/>
      <c r="L20" s="186"/>
      <c r="M20" s="207"/>
      <c r="N20" s="208"/>
      <c r="O20" s="141"/>
      <c r="P20" s="141"/>
      <c r="Q20" s="217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  <c r="AN20" s="205"/>
      <c r="AO20" s="205"/>
      <c r="AP20" s="205"/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</row>
    <row r="21" spans="1:58" ht="15.6">
      <c r="A21" s="188"/>
      <c r="B21" s="141"/>
      <c r="C21" s="141"/>
      <c r="D21" s="186"/>
      <c r="E21" s="186"/>
      <c r="F21" s="186"/>
      <c r="G21" s="186"/>
      <c r="H21" s="189"/>
      <c r="I21" s="186"/>
      <c r="J21" s="186"/>
      <c r="K21" s="186"/>
      <c r="L21" s="186"/>
      <c r="M21" s="207"/>
      <c r="N21" s="208"/>
      <c r="O21" s="141"/>
      <c r="P21" s="141"/>
      <c r="Q21" s="217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  <c r="AN21" s="205"/>
      <c r="AO21" s="205"/>
      <c r="AP21" s="205"/>
      <c r="AR21" s="169"/>
      <c r="AS21" s="169"/>
      <c r="AT21" s="169"/>
      <c r="AU21" s="169"/>
      <c r="AV21" s="169"/>
      <c r="AW21" s="169"/>
      <c r="AX21" s="169"/>
      <c r="AY21" s="169"/>
      <c r="AZ21" s="169"/>
      <c r="BA21" s="169"/>
      <c r="BB21" s="169"/>
    </row>
    <row r="22" spans="1:58" ht="15.6">
      <c r="A22" s="188"/>
      <c r="B22" s="285" t="s">
        <v>147</v>
      </c>
      <c r="C22" s="285"/>
      <c r="D22" s="285"/>
      <c r="E22" s="190">
        <v>0</v>
      </c>
      <c r="F22" s="186"/>
      <c r="G22" s="186"/>
      <c r="H22" s="186"/>
      <c r="I22" s="186"/>
      <c r="J22" s="186"/>
      <c r="K22" s="186"/>
      <c r="L22" s="186"/>
      <c r="M22" s="207"/>
      <c r="N22" s="208"/>
      <c r="O22" s="141"/>
      <c r="P22" s="141"/>
      <c r="Q22" s="217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  <c r="AN22" s="205"/>
      <c r="AO22" s="205"/>
      <c r="AP22" s="205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</row>
    <row r="23" spans="1:58" ht="15.6">
      <c r="A23" s="188"/>
      <c r="B23" s="285" t="s">
        <v>26</v>
      </c>
      <c r="C23" s="285"/>
      <c r="D23" s="285"/>
      <c r="E23" s="191">
        <f>INVOICE!L15*H7</f>
        <v>0</v>
      </c>
      <c r="F23" s="186"/>
      <c r="G23" s="186"/>
      <c r="H23" s="186"/>
      <c r="I23" s="186"/>
      <c r="J23" s="186"/>
      <c r="K23" s="186"/>
      <c r="L23" s="186"/>
      <c r="M23" s="207"/>
      <c r="N23" s="208"/>
      <c r="O23" s="141"/>
      <c r="P23" s="141"/>
      <c r="Q23" s="217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  <c r="AN23" s="205"/>
      <c r="AO23" s="205"/>
      <c r="AP23" s="205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</row>
    <row r="24" spans="1:58" ht="27.75" customHeight="1">
      <c r="B24" s="141"/>
      <c r="C24" s="141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209"/>
      <c r="O24" s="192"/>
      <c r="P24" s="192"/>
      <c r="Q24" s="224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230"/>
      <c r="AH24" s="192"/>
      <c r="AI24" s="192"/>
      <c r="AJ24" s="192"/>
      <c r="AK24" s="192"/>
      <c r="AL24" s="192"/>
      <c r="AM24" s="192"/>
      <c r="AN24" s="192"/>
      <c r="AO24" s="192"/>
      <c r="AP24" s="192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</row>
    <row r="25" spans="1:58" ht="30.75" customHeight="1">
      <c r="B25" s="271" t="s">
        <v>27</v>
      </c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/>
      <c r="AO25" s="271"/>
      <c r="AP25" s="271"/>
      <c r="AR25" s="272" t="s">
        <v>28</v>
      </c>
      <c r="AS25" s="273"/>
      <c r="AT25" s="273"/>
      <c r="AU25" s="273"/>
      <c r="AV25" s="273"/>
      <c r="AW25" s="273"/>
      <c r="AX25" s="273"/>
      <c r="AY25" s="273"/>
      <c r="AZ25" s="273"/>
      <c r="BA25" s="273"/>
      <c r="BB25" s="274"/>
      <c r="BD25" s="275" t="s">
        <v>29</v>
      </c>
      <c r="BE25" s="275"/>
      <c r="BF25" s="275"/>
    </row>
    <row r="26" spans="1:58" s="136" customFormat="1" ht="47.25" customHeight="1">
      <c r="B26" s="193" t="s">
        <v>30</v>
      </c>
      <c r="C26" s="193" t="s">
        <v>31</v>
      </c>
      <c r="D26" s="194" t="s">
        <v>32</v>
      </c>
      <c r="E26" s="194" t="s">
        <v>33</v>
      </c>
      <c r="F26" s="194" t="s">
        <v>34</v>
      </c>
      <c r="G26" s="194" t="s">
        <v>35</v>
      </c>
      <c r="H26" s="194" t="s">
        <v>0</v>
      </c>
      <c r="I26" s="194" t="s">
        <v>36</v>
      </c>
      <c r="J26" s="194" t="s">
        <v>2</v>
      </c>
      <c r="K26" s="194" t="s">
        <v>37</v>
      </c>
      <c r="L26" s="262" t="s">
        <v>144</v>
      </c>
      <c r="M26" s="194" t="s">
        <v>38</v>
      </c>
      <c r="N26" s="210" t="s">
        <v>39</v>
      </c>
      <c r="O26" s="194" t="s">
        <v>40</v>
      </c>
      <c r="P26" s="194" t="s">
        <v>41</v>
      </c>
      <c r="Q26" s="225" t="s">
        <v>42</v>
      </c>
      <c r="R26" s="194" t="s">
        <v>43</v>
      </c>
      <c r="S26" s="194"/>
      <c r="T26" s="194" t="s">
        <v>17</v>
      </c>
      <c r="U26" s="194" t="s">
        <v>15</v>
      </c>
      <c r="V26" s="194" t="s">
        <v>44</v>
      </c>
      <c r="W26" s="194" t="s">
        <v>45</v>
      </c>
      <c r="X26" s="194" t="s">
        <v>46</v>
      </c>
      <c r="Y26" s="227" t="s">
        <v>47</v>
      </c>
      <c r="Z26" s="194" t="s">
        <v>48</v>
      </c>
      <c r="AA26" s="194" t="s">
        <v>49</v>
      </c>
      <c r="AB26" s="194" t="s">
        <v>50</v>
      </c>
      <c r="AC26" s="194"/>
      <c r="AD26" s="194" t="s">
        <v>51</v>
      </c>
      <c r="AE26" s="227" t="s">
        <v>52</v>
      </c>
      <c r="AF26" s="194" t="s">
        <v>53</v>
      </c>
      <c r="AG26" s="227" t="s">
        <v>54</v>
      </c>
      <c r="AH26" s="194" t="s">
        <v>55</v>
      </c>
      <c r="AI26" s="227" t="s">
        <v>56</v>
      </c>
      <c r="AJ26" s="194" t="s">
        <v>57</v>
      </c>
      <c r="AK26" s="194" t="s">
        <v>58</v>
      </c>
      <c r="AL26" s="194" t="s">
        <v>59</v>
      </c>
      <c r="AM26" s="227" t="s">
        <v>60</v>
      </c>
      <c r="AN26" s="194" t="s">
        <v>61</v>
      </c>
      <c r="AO26" s="194" t="s">
        <v>62</v>
      </c>
      <c r="AP26" s="194" t="s">
        <v>63</v>
      </c>
      <c r="AR26" s="194" t="s">
        <v>64</v>
      </c>
      <c r="AS26" s="194" t="s">
        <v>65</v>
      </c>
      <c r="AT26" s="194" t="s">
        <v>66</v>
      </c>
      <c r="AU26" s="194" t="s">
        <v>67</v>
      </c>
      <c r="AV26" s="194" t="s">
        <v>68</v>
      </c>
      <c r="AW26" s="227" t="s">
        <v>60</v>
      </c>
      <c r="AX26" s="194" t="s">
        <v>69</v>
      </c>
      <c r="AY26" s="194" t="s">
        <v>70</v>
      </c>
      <c r="AZ26" s="194" t="s">
        <v>71</v>
      </c>
      <c r="BA26" s="194" t="s">
        <v>72</v>
      </c>
      <c r="BB26" s="194" t="s">
        <v>73</v>
      </c>
      <c r="BD26" s="194" t="s">
        <v>74</v>
      </c>
      <c r="BE26" s="194" t="s">
        <v>65</v>
      </c>
      <c r="BF26" s="194" t="s">
        <v>66</v>
      </c>
    </row>
    <row r="27" spans="1:58" s="136" customFormat="1">
      <c r="B27" s="195"/>
      <c r="C27" s="195"/>
      <c r="D27" s="196" t="str">
        <f>INVOICE!C3</f>
        <v>1 x 18</v>
      </c>
      <c r="E27" s="197">
        <f>INVOICE!D3</f>
        <v>1</v>
      </c>
      <c r="F27" s="198" t="s">
        <v>142</v>
      </c>
      <c r="G27" s="199" t="str">
        <f>INVOICE!B3</f>
        <v>Clavo con cabeza 10 x 10</v>
      </c>
      <c r="H27" s="197" t="str">
        <f>INVOICE!E3</f>
        <v>7317.00.90</v>
      </c>
      <c r="I27" s="211">
        <f>INVOICE!I3</f>
        <v>1180</v>
      </c>
      <c r="J27" s="212">
        <f>E27*I27</f>
        <v>1180</v>
      </c>
      <c r="K27" s="213">
        <f>INVOICE!H3</f>
        <v>1000</v>
      </c>
      <c r="L27" s="214">
        <f>K27/$K$38</f>
        <v>9.0909090909090912E-2</v>
      </c>
      <c r="M27" s="215">
        <f>J27*$H$7</f>
        <v>6466.4000000000005</v>
      </c>
      <c r="N27" s="216">
        <f>$D$7*L27</f>
        <v>234.9</v>
      </c>
      <c r="O27" s="215">
        <f t="shared" ref="O27" si="0">$E$7*L27</f>
        <v>1287.2520000000002</v>
      </c>
      <c r="P27" s="215">
        <f t="shared" ref="P27" si="1">$E$8*L27</f>
        <v>0</v>
      </c>
      <c r="Q27" s="212">
        <f>J27+N27</f>
        <v>1414.9</v>
      </c>
      <c r="R27" s="215">
        <f t="shared" ref="R27" si="2">M27+O27+P27</f>
        <v>7753.652000000001</v>
      </c>
      <c r="S27" s="226"/>
      <c r="T27" s="215">
        <f t="shared" ref="T27" si="3">$H$9*L27</f>
        <v>0</v>
      </c>
      <c r="U27" s="215">
        <f t="shared" ref="U27" si="4">$H$8*L27</f>
        <v>14.02090909090909</v>
      </c>
      <c r="V27" s="212">
        <v>0</v>
      </c>
      <c r="W27" s="215">
        <v>0</v>
      </c>
      <c r="X27" s="215">
        <f t="shared" ref="X27" si="5">$E$19*L27</f>
        <v>363.63636363636363</v>
      </c>
      <c r="Y27" s="228">
        <v>0.25</v>
      </c>
      <c r="Z27" s="215">
        <f>R27*Y27</f>
        <v>1938.4130000000002</v>
      </c>
      <c r="AA27" s="212">
        <f>J27+N27</f>
        <v>1414.9</v>
      </c>
      <c r="AB27" s="212">
        <f>AA27/E27</f>
        <v>1414.9</v>
      </c>
      <c r="AC27" s="229"/>
      <c r="AD27" s="215">
        <f>R27+Z27</f>
        <v>9692.0650000000005</v>
      </c>
      <c r="AE27" s="228">
        <v>6.5000000000000002E-2</v>
      </c>
      <c r="AF27" s="215">
        <f>AD27*AE27</f>
        <v>629.98422500000004</v>
      </c>
      <c r="AG27" s="228">
        <v>2.1000000000000001E-2</v>
      </c>
      <c r="AH27" s="215">
        <f t="shared" ref="AH27" si="6">(R27*AG27)</f>
        <v>162.82669200000004</v>
      </c>
      <c r="AI27" s="228">
        <v>9.6500000000000002E-2</v>
      </c>
      <c r="AJ27" s="215">
        <f t="shared" ref="AJ27" si="7">(R27*AI27)</f>
        <v>748.22741800000006</v>
      </c>
      <c r="AK27" s="215">
        <f>R27*9.65%</f>
        <v>748.22741800000006</v>
      </c>
      <c r="AL27" s="215">
        <f>(R27+U27+Z27+AF27+AH27+AJ27+W27)/0.96</f>
        <v>11715.754420928033</v>
      </c>
      <c r="AM27" s="231">
        <v>0.01</v>
      </c>
      <c r="AN27" s="215">
        <f t="shared" ref="AN27" si="8">AL27*AM27</f>
        <v>117.15754420928033</v>
      </c>
      <c r="AO27" s="215">
        <f>R27+T27+U27+X27+Z27+AF27+AH27+AJ27+W27+AN27</f>
        <v>11727.918151936556</v>
      </c>
      <c r="AP27" s="215">
        <f t="shared" ref="AP27" si="9">AO27/E27</f>
        <v>11727.918151936556</v>
      </c>
      <c r="AR27" s="215">
        <f>AO27-AF27-AH27-AK27-AN27</f>
        <v>10069.722272727275</v>
      </c>
      <c r="AS27" s="215">
        <f>AR27+(E$22*L27)+($E$23*L27)</f>
        <v>10069.722272727275</v>
      </c>
      <c r="AT27" s="215">
        <f t="shared" ref="AT27" si="10">AS27/E27</f>
        <v>10069.722272727275</v>
      </c>
      <c r="AU27" s="232">
        <f>'EST. DE CUSTO - IMP. PRÓPRIA'!$H$68</f>
        <v>0.65174242424242423</v>
      </c>
      <c r="AV27" s="229">
        <f>AS27/AU27</f>
        <v>15450.463094269444</v>
      </c>
      <c r="AW27" s="231">
        <f>'EST. DE CUSTO - IMP. PRÓPRIA'!$F$63</f>
        <v>0.04</v>
      </c>
      <c r="AX27" s="229">
        <f t="shared" ref="AX27" si="11">AV27*AW27</f>
        <v>618.01852377077773</v>
      </c>
      <c r="AY27" s="229">
        <f t="shared" ref="AY27" si="12">AV27*AE27</f>
        <v>1004.2801011275139</v>
      </c>
      <c r="AZ27" s="229">
        <v>0</v>
      </c>
      <c r="BA27" s="229">
        <f t="shared" ref="BA27" si="13">AV27+AY27+AZ27</f>
        <v>16454.743195396957</v>
      </c>
      <c r="BB27" s="229">
        <f t="shared" ref="BB27" si="14">BA27/E27</f>
        <v>16454.743195396957</v>
      </c>
      <c r="BD27" s="229">
        <v>0</v>
      </c>
      <c r="BE27" s="215">
        <f>BA27+BD27</f>
        <v>16454.743195396957</v>
      </c>
      <c r="BF27" s="215">
        <f t="shared" ref="BF27" si="15">BE27/E27</f>
        <v>16454.743195396957</v>
      </c>
    </row>
    <row r="28" spans="1:58" s="136" customFormat="1">
      <c r="B28" s="195"/>
      <c r="C28" s="195"/>
      <c r="D28" s="196" t="str">
        <f>INVOICE!C4</f>
        <v>1 1/4 x 13</v>
      </c>
      <c r="E28" s="197">
        <f>INVOICE!D4</f>
        <v>1</v>
      </c>
      <c r="F28" s="198" t="s">
        <v>142</v>
      </c>
      <c r="G28" s="199" t="str">
        <f>INVOICE!B4</f>
        <v>Clavo con cabeza 15 x 15</v>
      </c>
      <c r="H28" s="197" t="str">
        <f>INVOICE!E4</f>
        <v>7317.00.90</v>
      </c>
      <c r="I28" s="211">
        <f>INVOICE!I4</f>
        <v>1060</v>
      </c>
      <c r="J28" s="212">
        <f t="shared" ref="J28:J37" si="16">E28*I28</f>
        <v>1060</v>
      </c>
      <c r="K28" s="213">
        <f>INVOICE!H4</f>
        <v>1000</v>
      </c>
      <c r="L28" s="214">
        <f>K28/$H$6</f>
        <v>9.0909090909090912E-2</v>
      </c>
      <c r="M28" s="215">
        <f t="shared" ref="M28:M37" si="17">J28*$H$7</f>
        <v>5808.8</v>
      </c>
      <c r="N28" s="216">
        <f t="shared" ref="N28:N37" si="18">$D$7*L28</f>
        <v>234.9</v>
      </c>
      <c r="O28" s="215">
        <f t="shared" ref="O28:O37" si="19">$E$7*L28</f>
        <v>1287.2520000000002</v>
      </c>
      <c r="P28" s="215">
        <f t="shared" ref="P28:P37" si="20">$E$8*L28</f>
        <v>0</v>
      </c>
      <c r="Q28" s="212">
        <f t="shared" ref="Q28:Q37" si="21">J28+N28</f>
        <v>1294.9000000000001</v>
      </c>
      <c r="R28" s="215">
        <f t="shared" ref="R28:R37" si="22">M28+O28+P28</f>
        <v>7096.0520000000006</v>
      </c>
      <c r="S28" s="226"/>
      <c r="T28" s="215">
        <f t="shared" ref="T28:T37" si="23">$H$9*L28</f>
        <v>0</v>
      </c>
      <c r="U28" s="215">
        <f t="shared" ref="U28:U37" si="24">$H$8*L28</f>
        <v>14.02090909090909</v>
      </c>
      <c r="V28" s="212">
        <v>0</v>
      </c>
      <c r="W28" s="215">
        <v>0</v>
      </c>
      <c r="X28" s="215">
        <f t="shared" ref="X28:X37" si="25">$E$19*L28</f>
        <v>363.63636363636363</v>
      </c>
      <c r="Y28" s="228">
        <v>0.25</v>
      </c>
      <c r="Z28" s="215">
        <f t="shared" ref="Z28:Z37" si="26">R28*Y28</f>
        <v>1774.0130000000001</v>
      </c>
      <c r="AA28" s="212">
        <f t="shared" ref="AA28:AA37" si="27">J28+N28</f>
        <v>1294.9000000000001</v>
      </c>
      <c r="AB28" s="212">
        <f t="shared" ref="AB28:AB37" si="28">AA28/E28</f>
        <v>1294.9000000000001</v>
      </c>
      <c r="AC28" s="229"/>
      <c r="AD28" s="215">
        <f t="shared" ref="AD28:AD37" si="29">R28+Z28</f>
        <v>8870.0650000000005</v>
      </c>
      <c r="AE28" s="228">
        <v>6.5000000000000002E-2</v>
      </c>
      <c r="AF28" s="215">
        <f t="shared" ref="AF28:AF37" si="30">AD28*AE28</f>
        <v>576.55422500000009</v>
      </c>
      <c r="AG28" s="228">
        <v>2.1000000000000001E-2</v>
      </c>
      <c r="AH28" s="215">
        <f t="shared" ref="AH28:AH37" si="31">(R28*AG28)</f>
        <v>149.01709200000002</v>
      </c>
      <c r="AI28" s="228">
        <v>9.6500000000000002E-2</v>
      </c>
      <c r="AJ28" s="215">
        <f t="shared" ref="AJ28:AJ37" si="32">(R28*AI28)</f>
        <v>684.76901800000007</v>
      </c>
      <c r="AK28" s="215">
        <f t="shared" ref="AK28:AK37" si="33">R28*9.65%</f>
        <v>684.76901800000007</v>
      </c>
      <c r="AL28" s="215">
        <f t="shared" ref="AL28:AL37" si="34">(R28+U28+Z28+AF28+AH28+AJ28+W28)/0.96</f>
        <v>10723.360670928034</v>
      </c>
      <c r="AM28" s="231">
        <v>0.01</v>
      </c>
      <c r="AN28" s="215">
        <f t="shared" ref="AN28:AN37" si="35">AL28*AM28</f>
        <v>107.23360670928034</v>
      </c>
      <c r="AO28" s="215">
        <f t="shared" ref="AO28:AO37" si="36">R28+T28+U28+X28+Z28+AF28+AH28+AJ28+W28+AN28</f>
        <v>10765.296214436556</v>
      </c>
      <c r="AP28" s="215">
        <f t="shared" ref="AP28:AP37" si="37">AO28/E28</f>
        <v>10765.296214436556</v>
      </c>
      <c r="AR28" s="215">
        <f t="shared" ref="AR28:AR37" si="38">AO28-AF28-AH28-AK28-AN28</f>
        <v>9247.7222727272747</v>
      </c>
      <c r="AS28" s="215">
        <f t="shared" ref="AS28:AS37" si="39">AR28+(E$22*L28)+($E$23*L28)</f>
        <v>9247.7222727272747</v>
      </c>
      <c r="AT28" s="215">
        <f t="shared" ref="AT28:AT37" si="40">AS28/E28</f>
        <v>9247.7222727272747</v>
      </c>
      <c r="AU28" s="232">
        <f>'EST. DE CUSTO - IMP. PRÓPRIA'!$H$68</f>
        <v>0.65174242424242423</v>
      </c>
      <c r="AV28" s="229">
        <f t="shared" ref="AV28:AV37" si="41">AS28/AU28</f>
        <v>14189.228641171687</v>
      </c>
      <c r="AW28" s="231">
        <f>'EST. DE CUSTO - IMP. PRÓPRIA'!$F$63</f>
        <v>0.04</v>
      </c>
      <c r="AX28" s="229">
        <f t="shared" ref="AX28:AX37" si="42">AV28*AW28</f>
        <v>567.56914564686747</v>
      </c>
      <c r="AY28" s="229">
        <f t="shared" ref="AY28:AY37" si="43">AV28*AE28</f>
        <v>922.29986167615971</v>
      </c>
      <c r="AZ28" s="229">
        <v>0</v>
      </c>
      <c r="BA28" s="229">
        <f t="shared" ref="BA28:BA37" si="44">AV28+AY28+AZ28</f>
        <v>15111.528502847847</v>
      </c>
      <c r="BB28" s="229">
        <f t="shared" ref="BB28:BB37" si="45">BA28/E28</f>
        <v>15111.528502847847</v>
      </c>
      <c r="BD28" s="229">
        <v>0</v>
      </c>
      <c r="BE28" s="215">
        <f t="shared" ref="BE28:BE37" si="46">BA28+BD28</f>
        <v>15111.528502847847</v>
      </c>
      <c r="BF28" s="215">
        <f t="shared" ref="BF28:BF37" si="47">BE28/E28</f>
        <v>15111.528502847847</v>
      </c>
    </row>
    <row r="29" spans="1:58" s="136" customFormat="1">
      <c r="B29" s="195"/>
      <c r="C29" s="195"/>
      <c r="D29" s="196" t="str">
        <f>INVOICE!C5</f>
        <v>1 1/4 x15</v>
      </c>
      <c r="E29" s="197">
        <f>INVOICE!D5</f>
        <v>1</v>
      </c>
      <c r="F29" s="198" t="s">
        <v>142</v>
      </c>
      <c r="G29" s="199" t="str">
        <f>INVOICE!B5</f>
        <v>Clavo con cabeza 13 x 15</v>
      </c>
      <c r="H29" s="197" t="str">
        <f>INVOICE!E5</f>
        <v>7317.00.90</v>
      </c>
      <c r="I29" s="211">
        <f>INVOICE!I5</f>
        <v>1120</v>
      </c>
      <c r="J29" s="212">
        <f t="shared" si="16"/>
        <v>1120</v>
      </c>
      <c r="K29" s="213">
        <f>INVOICE!H5</f>
        <v>1000</v>
      </c>
      <c r="L29" s="214">
        <f>K29/$H$6</f>
        <v>9.0909090909090912E-2</v>
      </c>
      <c r="M29" s="215">
        <f t="shared" si="17"/>
        <v>6137.6</v>
      </c>
      <c r="N29" s="216">
        <f t="shared" si="18"/>
        <v>234.9</v>
      </c>
      <c r="O29" s="215">
        <f t="shared" si="19"/>
        <v>1287.2520000000002</v>
      </c>
      <c r="P29" s="215">
        <f t="shared" si="20"/>
        <v>0</v>
      </c>
      <c r="Q29" s="212">
        <f t="shared" si="21"/>
        <v>1354.9</v>
      </c>
      <c r="R29" s="215">
        <f t="shared" si="22"/>
        <v>7424.8520000000008</v>
      </c>
      <c r="S29" s="226"/>
      <c r="T29" s="215">
        <f t="shared" si="23"/>
        <v>0</v>
      </c>
      <c r="U29" s="215">
        <f t="shared" si="24"/>
        <v>14.02090909090909</v>
      </c>
      <c r="V29" s="212">
        <v>0</v>
      </c>
      <c r="W29" s="215">
        <v>0</v>
      </c>
      <c r="X29" s="215">
        <f t="shared" si="25"/>
        <v>363.63636363636363</v>
      </c>
      <c r="Y29" s="228">
        <v>0.25</v>
      </c>
      <c r="Z29" s="215">
        <f t="shared" si="26"/>
        <v>1856.2130000000002</v>
      </c>
      <c r="AA29" s="212">
        <f t="shared" si="27"/>
        <v>1354.9</v>
      </c>
      <c r="AB29" s="212">
        <f t="shared" si="28"/>
        <v>1354.9</v>
      </c>
      <c r="AC29" s="229"/>
      <c r="AD29" s="215">
        <f t="shared" si="29"/>
        <v>9281.0650000000005</v>
      </c>
      <c r="AE29" s="228">
        <v>6.5000000000000002E-2</v>
      </c>
      <c r="AF29" s="215">
        <f t="shared" si="30"/>
        <v>603.26922500000001</v>
      </c>
      <c r="AG29" s="228">
        <v>2.1000000000000001E-2</v>
      </c>
      <c r="AH29" s="215">
        <f t="shared" si="31"/>
        <v>155.92189200000001</v>
      </c>
      <c r="AI29" s="228">
        <v>9.6500000000000002E-2</v>
      </c>
      <c r="AJ29" s="215">
        <f t="shared" si="32"/>
        <v>716.49821800000007</v>
      </c>
      <c r="AK29" s="215">
        <f t="shared" si="33"/>
        <v>716.49821800000007</v>
      </c>
      <c r="AL29" s="215">
        <f t="shared" si="34"/>
        <v>11219.557545928034</v>
      </c>
      <c r="AM29" s="231">
        <v>0.01</v>
      </c>
      <c r="AN29" s="215">
        <f t="shared" si="35"/>
        <v>112.19557545928033</v>
      </c>
      <c r="AO29" s="215">
        <f t="shared" si="36"/>
        <v>11246.607183186556</v>
      </c>
      <c r="AP29" s="215">
        <f t="shared" si="37"/>
        <v>11246.607183186556</v>
      </c>
      <c r="AR29" s="215">
        <f t="shared" si="38"/>
        <v>9658.7222727272747</v>
      </c>
      <c r="AS29" s="215">
        <f t="shared" si="39"/>
        <v>9658.7222727272747</v>
      </c>
      <c r="AT29" s="215">
        <f t="shared" si="40"/>
        <v>9658.7222727272747</v>
      </c>
      <c r="AU29" s="232">
        <f>'EST. DE CUSTO - IMP. PRÓPRIA'!$H$68</f>
        <v>0.65174242424242423</v>
      </c>
      <c r="AV29" s="229">
        <f t="shared" si="41"/>
        <v>14819.845867720565</v>
      </c>
      <c r="AW29" s="231">
        <f>'EST. DE CUSTO - IMP. PRÓPRIA'!$F$63</f>
        <v>0.04</v>
      </c>
      <c r="AX29" s="229">
        <f t="shared" si="42"/>
        <v>592.7938347088226</v>
      </c>
      <c r="AY29" s="229">
        <f t="shared" si="43"/>
        <v>963.28998140183683</v>
      </c>
      <c r="AZ29" s="229">
        <v>0</v>
      </c>
      <c r="BA29" s="229">
        <f t="shared" si="44"/>
        <v>15783.135849122402</v>
      </c>
      <c r="BB29" s="229">
        <f t="shared" si="45"/>
        <v>15783.135849122402</v>
      </c>
      <c r="BD29" s="229">
        <v>0</v>
      </c>
      <c r="BE29" s="215">
        <f t="shared" si="46"/>
        <v>15783.135849122402</v>
      </c>
      <c r="BF29" s="215">
        <f t="shared" si="47"/>
        <v>15783.135849122402</v>
      </c>
    </row>
    <row r="30" spans="1:58" s="136" customFormat="1">
      <c r="B30" s="195"/>
      <c r="C30" s="195"/>
      <c r="D30" s="196" t="str">
        <f>INVOICE!C6</f>
        <v>1 1/2 x 13</v>
      </c>
      <c r="E30" s="197">
        <f>INVOICE!D6</f>
        <v>1</v>
      </c>
      <c r="F30" s="198" t="s">
        <v>142</v>
      </c>
      <c r="G30" s="199" t="str">
        <f>INVOICE!B6</f>
        <v>Clavo con cabeza 15 x 18</v>
      </c>
      <c r="H30" s="197" t="str">
        <f>INVOICE!E6</f>
        <v>7317.00.90</v>
      </c>
      <c r="I30" s="211">
        <f>INVOICE!I6</f>
        <v>1060</v>
      </c>
      <c r="J30" s="212">
        <f t="shared" si="16"/>
        <v>1060</v>
      </c>
      <c r="K30" s="213">
        <f>INVOICE!H6</f>
        <v>1000</v>
      </c>
      <c r="L30" s="214">
        <f>K30/$H$6</f>
        <v>9.0909090909090912E-2</v>
      </c>
      <c r="M30" s="215">
        <f t="shared" si="17"/>
        <v>5808.8</v>
      </c>
      <c r="N30" s="216">
        <f t="shared" si="18"/>
        <v>234.9</v>
      </c>
      <c r="O30" s="215">
        <f t="shared" si="19"/>
        <v>1287.2520000000002</v>
      </c>
      <c r="P30" s="215">
        <f t="shared" si="20"/>
        <v>0</v>
      </c>
      <c r="Q30" s="212">
        <f t="shared" si="21"/>
        <v>1294.9000000000001</v>
      </c>
      <c r="R30" s="215">
        <f t="shared" si="22"/>
        <v>7096.0520000000006</v>
      </c>
      <c r="S30" s="226"/>
      <c r="T30" s="215">
        <f t="shared" si="23"/>
        <v>0</v>
      </c>
      <c r="U30" s="215">
        <f t="shared" si="24"/>
        <v>14.02090909090909</v>
      </c>
      <c r="V30" s="212">
        <v>0</v>
      </c>
      <c r="W30" s="215">
        <v>0</v>
      </c>
      <c r="X30" s="215">
        <f t="shared" si="25"/>
        <v>363.63636363636363</v>
      </c>
      <c r="Y30" s="228">
        <v>0.25</v>
      </c>
      <c r="Z30" s="215">
        <f t="shared" si="26"/>
        <v>1774.0130000000001</v>
      </c>
      <c r="AA30" s="212">
        <f t="shared" si="27"/>
        <v>1294.9000000000001</v>
      </c>
      <c r="AB30" s="212">
        <f t="shared" si="28"/>
        <v>1294.9000000000001</v>
      </c>
      <c r="AC30" s="229"/>
      <c r="AD30" s="215">
        <f t="shared" si="29"/>
        <v>8870.0650000000005</v>
      </c>
      <c r="AE30" s="228">
        <v>6.5000000000000002E-2</v>
      </c>
      <c r="AF30" s="215">
        <f t="shared" si="30"/>
        <v>576.55422500000009</v>
      </c>
      <c r="AG30" s="228">
        <v>2.1000000000000001E-2</v>
      </c>
      <c r="AH30" s="215">
        <f t="shared" si="31"/>
        <v>149.01709200000002</v>
      </c>
      <c r="AI30" s="228">
        <v>9.6500000000000002E-2</v>
      </c>
      <c r="AJ30" s="215">
        <f t="shared" si="32"/>
        <v>684.76901800000007</v>
      </c>
      <c r="AK30" s="215">
        <f t="shared" si="33"/>
        <v>684.76901800000007</v>
      </c>
      <c r="AL30" s="215">
        <f t="shared" si="34"/>
        <v>10723.360670928034</v>
      </c>
      <c r="AM30" s="231">
        <v>0.01</v>
      </c>
      <c r="AN30" s="215">
        <f t="shared" si="35"/>
        <v>107.23360670928034</v>
      </c>
      <c r="AO30" s="215">
        <f t="shared" si="36"/>
        <v>10765.296214436556</v>
      </c>
      <c r="AP30" s="215">
        <f t="shared" si="37"/>
        <v>10765.296214436556</v>
      </c>
      <c r="AR30" s="215">
        <f t="shared" si="38"/>
        <v>9247.7222727272747</v>
      </c>
      <c r="AS30" s="215">
        <f t="shared" si="39"/>
        <v>9247.7222727272747</v>
      </c>
      <c r="AT30" s="215">
        <f t="shared" si="40"/>
        <v>9247.7222727272747</v>
      </c>
      <c r="AU30" s="232">
        <f>'EST. DE CUSTO - IMP. PRÓPRIA'!$H$68</f>
        <v>0.65174242424242423</v>
      </c>
      <c r="AV30" s="229">
        <f t="shared" si="41"/>
        <v>14189.228641171687</v>
      </c>
      <c r="AW30" s="231">
        <f>'EST. DE CUSTO - IMP. PRÓPRIA'!$F$63</f>
        <v>0.04</v>
      </c>
      <c r="AX30" s="229">
        <f t="shared" si="42"/>
        <v>567.56914564686747</v>
      </c>
      <c r="AY30" s="229">
        <f t="shared" si="43"/>
        <v>922.29986167615971</v>
      </c>
      <c r="AZ30" s="229">
        <v>0</v>
      </c>
      <c r="BA30" s="229">
        <f t="shared" si="44"/>
        <v>15111.528502847847</v>
      </c>
      <c r="BB30" s="229">
        <f t="shared" si="45"/>
        <v>15111.528502847847</v>
      </c>
      <c r="BD30" s="229">
        <v>0</v>
      </c>
      <c r="BE30" s="215">
        <f t="shared" si="46"/>
        <v>15111.528502847847</v>
      </c>
      <c r="BF30" s="215">
        <f t="shared" si="47"/>
        <v>15111.528502847847</v>
      </c>
    </row>
    <row r="31" spans="1:58" s="136" customFormat="1">
      <c r="B31" s="195"/>
      <c r="C31" s="195"/>
      <c r="D31" s="196" t="str">
        <f>INVOICE!C7</f>
        <v>2 x 11</v>
      </c>
      <c r="E31" s="197">
        <f>INVOICE!D7</f>
        <v>1</v>
      </c>
      <c r="F31" s="198" t="s">
        <v>142</v>
      </c>
      <c r="G31" s="199" t="str">
        <f>INVOICE!B7</f>
        <v>Clavo con cabeza 17 x 21</v>
      </c>
      <c r="H31" s="197" t="str">
        <f>INVOICE!E7</f>
        <v>7317.00.90</v>
      </c>
      <c r="I31" s="211">
        <f>INVOICE!I7</f>
        <v>970</v>
      </c>
      <c r="J31" s="212">
        <f t="shared" si="16"/>
        <v>970</v>
      </c>
      <c r="K31" s="213">
        <f>INVOICE!H7</f>
        <v>1000</v>
      </c>
      <c r="L31" s="214">
        <f>K31/$H$6</f>
        <v>9.0909090909090912E-2</v>
      </c>
      <c r="M31" s="215">
        <f t="shared" si="17"/>
        <v>5315.6</v>
      </c>
      <c r="N31" s="216">
        <f t="shared" si="18"/>
        <v>234.9</v>
      </c>
      <c r="O31" s="215">
        <f t="shared" si="19"/>
        <v>1287.2520000000002</v>
      </c>
      <c r="P31" s="215">
        <f t="shared" si="20"/>
        <v>0</v>
      </c>
      <c r="Q31" s="212">
        <f t="shared" si="21"/>
        <v>1204.9000000000001</v>
      </c>
      <c r="R31" s="215">
        <f t="shared" si="22"/>
        <v>6602.8520000000008</v>
      </c>
      <c r="S31" s="226"/>
      <c r="T31" s="215">
        <f t="shared" si="23"/>
        <v>0</v>
      </c>
      <c r="U31" s="215">
        <f t="shared" si="24"/>
        <v>14.02090909090909</v>
      </c>
      <c r="V31" s="212">
        <v>0</v>
      </c>
      <c r="W31" s="215">
        <v>0</v>
      </c>
      <c r="X31" s="215">
        <f t="shared" si="25"/>
        <v>363.63636363636363</v>
      </c>
      <c r="Y31" s="228">
        <v>0.25</v>
      </c>
      <c r="Z31" s="215">
        <f t="shared" si="26"/>
        <v>1650.7130000000002</v>
      </c>
      <c r="AA31" s="212">
        <f t="shared" si="27"/>
        <v>1204.9000000000001</v>
      </c>
      <c r="AB31" s="212">
        <f t="shared" si="28"/>
        <v>1204.9000000000001</v>
      </c>
      <c r="AC31" s="229"/>
      <c r="AD31" s="215">
        <f t="shared" si="29"/>
        <v>8253.5650000000005</v>
      </c>
      <c r="AE31" s="228">
        <v>6.5000000000000002E-2</v>
      </c>
      <c r="AF31" s="215">
        <f t="shared" si="30"/>
        <v>536.4817250000001</v>
      </c>
      <c r="AG31" s="228">
        <v>2.1000000000000001E-2</v>
      </c>
      <c r="AH31" s="215">
        <f t="shared" si="31"/>
        <v>138.65989200000001</v>
      </c>
      <c r="AI31" s="228">
        <v>9.6500000000000002E-2</v>
      </c>
      <c r="AJ31" s="215">
        <f t="shared" si="32"/>
        <v>637.17521800000009</v>
      </c>
      <c r="AK31" s="215">
        <f t="shared" si="33"/>
        <v>637.17521800000009</v>
      </c>
      <c r="AL31" s="215">
        <f t="shared" si="34"/>
        <v>9979.0653584280317</v>
      </c>
      <c r="AM31" s="231">
        <v>0.01</v>
      </c>
      <c r="AN31" s="215">
        <f t="shared" si="35"/>
        <v>99.790653584280321</v>
      </c>
      <c r="AO31" s="215">
        <f t="shared" si="36"/>
        <v>10043.329761311554</v>
      </c>
      <c r="AP31" s="215">
        <f t="shared" si="37"/>
        <v>10043.329761311554</v>
      </c>
      <c r="AR31" s="215">
        <f t="shared" si="38"/>
        <v>8631.2222727272747</v>
      </c>
      <c r="AS31" s="215">
        <f t="shared" si="39"/>
        <v>8631.2222727272747</v>
      </c>
      <c r="AT31" s="215">
        <f t="shared" si="40"/>
        <v>8631.2222727272747</v>
      </c>
      <c r="AU31" s="232">
        <f>'EST. DE CUSTO - IMP. PRÓPRIA'!$H$68</f>
        <v>0.65174242424242423</v>
      </c>
      <c r="AV31" s="229">
        <f t="shared" si="41"/>
        <v>13243.302801348371</v>
      </c>
      <c r="AW31" s="231">
        <f>'EST. DE CUSTO - IMP. PRÓPRIA'!$F$63</f>
        <v>0.04</v>
      </c>
      <c r="AX31" s="229">
        <f t="shared" si="42"/>
        <v>529.73211205393488</v>
      </c>
      <c r="AY31" s="229">
        <f t="shared" si="43"/>
        <v>860.81468208764409</v>
      </c>
      <c r="AZ31" s="229">
        <v>0</v>
      </c>
      <c r="BA31" s="229">
        <f t="shared" si="44"/>
        <v>14104.117483436015</v>
      </c>
      <c r="BB31" s="229">
        <f t="shared" si="45"/>
        <v>14104.117483436015</v>
      </c>
      <c r="BD31" s="229">
        <v>0</v>
      </c>
      <c r="BE31" s="215">
        <f t="shared" si="46"/>
        <v>14104.117483436015</v>
      </c>
      <c r="BF31" s="215">
        <f t="shared" si="47"/>
        <v>14104.117483436015</v>
      </c>
    </row>
    <row r="32" spans="1:58" s="136" customFormat="1">
      <c r="B32" s="195"/>
      <c r="C32" s="195"/>
      <c r="D32" s="196" t="str">
        <f>INVOICE!C8</f>
        <v>2 x 11 s/c</v>
      </c>
      <c r="E32" s="197">
        <f>INVOICE!D8</f>
        <v>1</v>
      </c>
      <c r="F32" s="198" t="s">
        <v>142</v>
      </c>
      <c r="G32" s="199" t="str">
        <f>INVOICE!B8</f>
        <v>Clavo sin cabeza 17 x 21</v>
      </c>
      <c r="H32" s="197" t="str">
        <f>INVOICE!E8</f>
        <v>7317.00.90</v>
      </c>
      <c r="I32" s="211">
        <f>INVOICE!I8</f>
        <v>970</v>
      </c>
      <c r="J32" s="212">
        <f t="shared" si="16"/>
        <v>970</v>
      </c>
      <c r="K32" s="213">
        <f>INVOICE!H8</f>
        <v>1000</v>
      </c>
      <c r="L32" s="214">
        <f>K32/$H$6</f>
        <v>9.0909090909090912E-2</v>
      </c>
      <c r="M32" s="215">
        <f t="shared" si="17"/>
        <v>5315.6</v>
      </c>
      <c r="N32" s="216">
        <f t="shared" si="18"/>
        <v>234.9</v>
      </c>
      <c r="O32" s="215">
        <f t="shared" si="19"/>
        <v>1287.2520000000002</v>
      </c>
      <c r="P32" s="215">
        <f t="shared" si="20"/>
        <v>0</v>
      </c>
      <c r="Q32" s="212">
        <f t="shared" si="21"/>
        <v>1204.9000000000001</v>
      </c>
      <c r="R32" s="215">
        <f t="shared" si="22"/>
        <v>6602.8520000000008</v>
      </c>
      <c r="S32" s="226"/>
      <c r="T32" s="215">
        <f t="shared" si="23"/>
        <v>0</v>
      </c>
      <c r="U32" s="215">
        <f t="shared" si="24"/>
        <v>14.02090909090909</v>
      </c>
      <c r="V32" s="212">
        <v>0</v>
      </c>
      <c r="W32" s="215">
        <v>0</v>
      </c>
      <c r="X32" s="215">
        <f t="shared" si="25"/>
        <v>363.63636363636363</v>
      </c>
      <c r="Y32" s="228">
        <v>0.25</v>
      </c>
      <c r="Z32" s="215">
        <f t="shared" si="26"/>
        <v>1650.7130000000002</v>
      </c>
      <c r="AA32" s="212">
        <f t="shared" si="27"/>
        <v>1204.9000000000001</v>
      </c>
      <c r="AB32" s="212">
        <f t="shared" si="28"/>
        <v>1204.9000000000001</v>
      </c>
      <c r="AC32" s="229"/>
      <c r="AD32" s="215">
        <f t="shared" si="29"/>
        <v>8253.5650000000005</v>
      </c>
      <c r="AE32" s="228">
        <v>6.5000000000000002E-2</v>
      </c>
      <c r="AF32" s="215">
        <f t="shared" si="30"/>
        <v>536.4817250000001</v>
      </c>
      <c r="AG32" s="228">
        <v>2.1000000000000001E-2</v>
      </c>
      <c r="AH32" s="215">
        <f t="shared" si="31"/>
        <v>138.65989200000001</v>
      </c>
      <c r="AI32" s="228">
        <v>9.6500000000000002E-2</v>
      </c>
      <c r="AJ32" s="215">
        <f t="shared" si="32"/>
        <v>637.17521800000009</v>
      </c>
      <c r="AK32" s="215">
        <f t="shared" si="33"/>
        <v>637.17521800000009</v>
      </c>
      <c r="AL32" s="215">
        <f t="shared" si="34"/>
        <v>9979.0653584280317</v>
      </c>
      <c r="AM32" s="231">
        <v>0.01</v>
      </c>
      <c r="AN32" s="215">
        <f t="shared" si="35"/>
        <v>99.790653584280321</v>
      </c>
      <c r="AO32" s="215">
        <f t="shared" si="36"/>
        <v>10043.329761311554</v>
      </c>
      <c r="AP32" s="215">
        <f t="shared" si="37"/>
        <v>10043.329761311554</v>
      </c>
      <c r="AR32" s="215">
        <f t="shared" si="38"/>
        <v>8631.2222727272747</v>
      </c>
      <c r="AS32" s="215">
        <f t="shared" si="39"/>
        <v>8631.2222727272747</v>
      </c>
      <c r="AT32" s="215">
        <f t="shared" si="40"/>
        <v>8631.2222727272747</v>
      </c>
      <c r="AU32" s="232">
        <f>'EST. DE CUSTO - IMP. PRÓPRIA'!$H$68</f>
        <v>0.65174242424242423</v>
      </c>
      <c r="AV32" s="229">
        <f t="shared" si="41"/>
        <v>13243.302801348371</v>
      </c>
      <c r="AW32" s="231">
        <f>'EST. DE CUSTO - IMP. PRÓPRIA'!$F$63</f>
        <v>0.04</v>
      </c>
      <c r="AX32" s="229">
        <f t="shared" si="42"/>
        <v>529.73211205393488</v>
      </c>
      <c r="AY32" s="229">
        <f t="shared" si="43"/>
        <v>860.81468208764409</v>
      </c>
      <c r="AZ32" s="229">
        <v>0</v>
      </c>
      <c r="BA32" s="229">
        <f t="shared" si="44"/>
        <v>14104.117483436015</v>
      </c>
      <c r="BB32" s="229">
        <f t="shared" si="45"/>
        <v>14104.117483436015</v>
      </c>
      <c r="BD32" s="229">
        <v>0</v>
      </c>
      <c r="BE32" s="215">
        <f t="shared" si="46"/>
        <v>14104.117483436015</v>
      </c>
      <c r="BF32" s="215">
        <f t="shared" si="47"/>
        <v>14104.117483436015</v>
      </c>
    </row>
    <row r="33" spans="2:58" s="136" customFormat="1">
      <c r="B33" s="195"/>
      <c r="C33" s="195"/>
      <c r="D33" s="196" t="str">
        <f>INVOICE!C9</f>
        <v>2 x 13</v>
      </c>
      <c r="E33" s="197">
        <f>INVOICE!D9</f>
        <v>1</v>
      </c>
      <c r="F33" s="198" t="s">
        <v>142</v>
      </c>
      <c r="G33" s="199" t="str">
        <f>INVOICE!B9</f>
        <v>Clavo con cabeza 15 x 21</v>
      </c>
      <c r="H33" s="197" t="str">
        <f>INVOICE!E9</f>
        <v>7317.00.90</v>
      </c>
      <c r="I33" s="211">
        <f>INVOICE!I9</f>
        <v>1060</v>
      </c>
      <c r="J33" s="212">
        <f t="shared" si="16"/>
        <v>1060</v>
      </c>
      <c r="K33" s="213">
        <f>INVOICE!H9</f>
        <v>1000</v>
      </c>
      <c r="L33" s="214">
        <f t="shared" ref="L33:L37" si="48">K33/$H$6</f>
        <v>9.0909090909090912E-2</v>
      </c>
      <c r="M33" s="215">
        <f t="shared" si="17"/>
        <v>5808.8</v>
      </c>
      <c r="N33" s="216">
        <f t="shared" si="18"/>
        <v>234.9</v>
      </c>
      <c r="O33" s="215">
        <f t="shared" si="19"/>
        <v>1287.2520000000002</v>
      </c>
      <c r="P33" s="215">
        <f t="shared" si="20"/>
        <v>0</v>
      </c>
      <c r="Q33" s="212">
        <f t="shared" si="21"/>
        <v>1294.9000000000001</v>
      </c>
      <c r="R33" s="215">
        <f t="shared" si="22"/>
        <v>7096.0520000000006</v>
      </c>
      <c r="S33" s="226"/>
      <c r="T33" s="215">
        <f t="shared" si="23"/>
        <v>0</v>
      </c>
      <c r="U33" s="215">
        <f t="shared" si="24"/>
        <v>14.02090909090909</v>
      </c>
      <c r="V33" s="212">
        <v>0</v>
      </c>
      <c r="W33" s="215">
        <v>0</v>
      </c>
      <c r="X33" s="215">
        <f t="shared" si="25"/>
        <v>363.63636363636363</v>
      </c>
      <c r="Y33" s="228">
        <v>0.25</v>
      </c>
      <c r="Z33" s="215">
        <f t="shared" si="26"/>
        <v>1774.0130000000001</v>
      </c>
      <c r="AA33" s="212">
        <f t="shared" si="27"/>
        <v>1294.9000000000001</v>
      </c>
      <c r="AB33" s="212">
        <f t="shared" si="28"/>
        <v>1294.9000000000001</v>
      </c>
      <c r="AC33" s="229"/>
      <c r="AD33" s="215">
        <f t="shared" si="29"/>
        <v>8870.0650000000005</v>
      </c>
      <c r="AE33" s="228">
        <v>6.5000000000000002E-2</v>
      </c>
      <c r="AF33" s="215">
        <f t="shared" si="30"/>
        <v>576.55422500000009</v>
      </c>
      <c r="AG33" s="228">
        <v>2.1000000000000001E-2</v>
      </c>
      <c r="AH33" s="215">
        <f t="shared" si="31"/>
        <v>149.01709200000002</v>
      </c>
      <c r="AI33" s="228">
        <v>9.6500000000000002E-2</v>
      </c>
      <c r="AJ33" s="215">
        <f t="shared" si="32"/>
        <v>684.76901800000007</v>
      </c>
      <c r="AK33" s="215">
        <f t="shared" si="33"/>
        <v>684.76901800000007</v>
      </c>
      <c r="AL33" s="215">
        <f t="shared" si="34"/>
        <v>10723.360670928034</v>
      </c>
      <c r="AM33" s="231">
        <v>0.01</v>
      </c>
      <c r="AN33" s="215">
        <f t="shared" si="35"/>
        <v>107.23360670928034</v>
      </c>
      <c r="AO33" s="215">
        <f t="shared" si="36"/>
        <v>10765.296214436556</v>
      </c>
      <c r="AP33" s="215">
        <f t="shared" si="37"/>
        <v>10765.296214436556</v>
      </c>
      <c r="AR33" s="215">
        <f t="shared" si="38"/>
        <v>9247.7222727272747</v>
      </c>
      <c r="AS33" s="215">
        <f t="shared" si="39"/>
        <v>9247.7222727272747</v>
      </c>
      <c r="AT33" s="215">
        <f t="shared" si="40"/>
        <v>9247.7222727272747</v>
      </c>
      <c r="AU33" s="232">
        <f>'EST. DE CUSTO - IMP. PRÓPRIA'!$H$68</f>
        <v>0.65174242424242423</v>
      </c>
      <c r="AV33" s="229">
        <f t="shared" si="41"/>
        <v>14189.228641171687</v>
      </c>
      <c r="AW33" s="231">
        <f>'EST. DE CUSTO - IMP. PRÓPRIA'!$F$63</f>
        <v>0.04</v>
      </c>
      <c r="AX33" s="229">
        <f t="shared" si="42"/>
        <v>567.56914564686747</v>
      </c>
      <c r="AY33" s="229">
        <f t="shared" si="43"/>
        <v>922.29986167615971</v>
      </c>
      <c r="AZ33" s="229">
        <v>0</v>
      </c>
      <c r="BA33" s="229">
        <f t="shared" si="44"/>
        <v>15111.528502847847</v>
      </c>
      <c r="BB33" s="229">
        <f t="shared" si="45"/>
        <v>15111.528502847847</v>
      </c>
      <c r="BD33" s="229">
        <v>0</v>
      </c>
      <c r="BE33" s="215">
        <f t="shared" si="46"/>
        <v>15111.528502847847</v>
      </c>
      <c r="BF33" s="215">
        <f t="shared" si="47"/>
        <v>15111.528502847847</v>
      </c>
    </row>
    <row r="34" spans="2:58" s="136" customFormat="1">
      <c r="B34" s="195"/>
      <c r="C34" s="195"/>
      <c r="D34" s="196" t="str">
        <f>INVOICE!C10</f>
        <v>2 1/2 x 11</v>
      </c>
      <c r="E34" s="197">
        <f>INVOICE!D10</f>
        <v>1</v>
      </c>
      <c r="F34" s="198" t="s">
        <v>142</v>
      </c>
      <c r="G34" s="199" t="str">
        <f>INVOICE!B10</f>
        <v>Clavo con cabeza 17 x 27</v>
      </c>
      <c r="H34" s="197" t="str">
        <f>INVOICE!E10</f>
        <v>7317.00.90</v>
      </c>
      <c r="I34" s="211">
        <f>INVOICE!I10</f>
        <v>970</v>
      </c>
      <c r="J34" s="212">
        <f t="shared" si="16"/>
        <v>970</v>
      </c>
      <c r="K34" s="213">
        <f>INVOICE!H10</f>
        <v>1000</v>
      </c>
      <c r="L34" s="214">
        <f>K34/$H$6</f>
        <v>9.0909090909090912E-2</v>
      </c>
      <c r="M34" s="215">
        <f t="shared" si="17"/>
        <v>5315.6</v>
      </c>
      <c r="N34" s="216">
        <f t="shared" si="18"/>
        <v>234.9</v>
      </c>
      <c r="O34" s="215">
        <f t="shared" si="19"/>
        <v>1287.2520000000002</v>
      </c>
      <c r="P34" s="215">
        <f t="shared" si="20"/>
        <v>0</v>
      </c>
      <c r="Q34" s="212">
        <f t="shared" si="21"/>
        <v>1204.9000000000001</v>
      </c>
      <c r="R34" s="215">
        <f t="shared" si="22"/>
        <v>6602.8520000000008</v>
      </c>
      <c r="S34" s="226"/>
      <c r="T34" s="215">
        <f t="shared" si="23"/>
        <v>0</v>
      </c>
      <c r="U34" s="215">
        <f t="shared" si="24"/>
        <v>14.02090909090909</v>
      </c>
      <c r="V34" s="212">
        <v>0</v>
      </c>
      <c r="W34" s="215">
        <v>0</v>
      </c>
      <c r="X34" s="215">
        <f t="shared" si="25"/>
        <v>363.63636363636363</v>
      </c>
      <c r="Y34" s="228">
        <v>0.25</v>
      </c>
      <c r="Z34" s="215">
        <f t="shared" si="26"/>
        <v>1650.7130000000002</v>
      </c>
      <c r="AA34" s="212">
        <f t="shared" si="27"/>
        <v>1204.9000000000001</v>
      </c>
      <c r="AB34" s="212">
        <f t="shared" si="28"/>
        <v>1204.9000000000001</v>
      </c>
      <c r="AC34" s="229"/>
      <c r="AD34" s="215">
        <f t="shared" si="29"/>
        <v>8253.5650000000005</v>
      </c>
      <c r="AE34" s="228">
        <v>6.5000000000000002E-2</v>
      </c>
      <c r="AF34" s="215">
        <f t="shared" si="30"/>
        <v>536.4817250000001</v>
      </c>
      <c r="AG34" s="228">
        <v>2.1000000000000001E-2</v>
      </c>
      <c r="AH34" s="215">
        <f t="shared" si="31"/>
        <v>138.65989200000001</v>
      </c>
      <c r="AI34" s="228">
        <v>9.6500000000000002E-2</v>
      </c>
      <c r="AJ34" s="215">
        <f t="shared" si="32"/>
        <v>637.17521800000009</v>
      </c>
      <c r="AK34" s="215">
        <f t="shared" si="33"/>
        <v>637.17521800000009</v>
      </c>
      <c r="AL34" s="215">
        <f t="shared" si="34"/>
        <v>9979.0653584280317</v>
      </c>
      <c r="AM34" s="231">
        <v>0.01</v>
      </c>
      <c r="AN34" s="215">
        <f t="shared" si="35"/>
        <v>99.790653584280321</v>
      </c>
      <c r="AO34" s="215">
        <f t="shared" si="36"/>
        <v>10043.329761311554</v>
      </c>
      <c r="AP34" s="215">
        <f t="shared" si="37"/>
        <v>10043.329761311554</v>
      </c>
      <c r="AR34" s="215">
        <f t="shared" si="38"/>
        <v>8631.2222727272747</v>
      </c>
      <c r="AS34" s="215">
        <f t="shared" si="39"/>
        <v>8631.2222727272747</v>
      </c>
      <c r="AT34" s="215">
        <f t="shared" si="40"/>
        <v>8631.2222727272747</v>
      </c>
      <c r="AU34" s="232">
        <f>'EST. DE CUSTO - IMP. PRÓPRIA'!$H$68</f>
        <v>0.65174242424242423</v>
      </c>
      <c r="AV34" s="229">
        <f t="shared" si="41"/>
        <v>13243.302801348371</v>
      </c>
      <c r="AW34" s="231">
        <f>'EST. DE CUSTO - IMP. PRÓPRIA'!$F$63</f>
        <v>0.04</v>
      </c>
      <c r="AX34" s="229">
        <f t="shared" si="42"/>
        <v>529.73211205393488</v>
      </c>
      <c r="AY34" s="229">
        <f t="shared" si="43"/>
        <v>860.81468208764409</v>
      </c>
      <c r="AZ34" s="229">
        <v>0</v>
      </c>
      <c r="BA34" s="229">
        <f t="shared" si="44"/>
        <v>14104.117483436015</v>
      </c>
      <c r="BB34" s="229">
        <f t="shared" si="45"/>
        <v>14104.117483436015</v>
      </c>
      <c r="BD34" s="229">
        <v>0</v>
      </c>
      <c r="BE34" s="215">
        <f t="shared" si="46"/>
        <v>14104.117483436015</v>
      </c>
      <c r="BF34" s="215">
        <f t="shared" si="47"/>
        <v>14104.117483436015</v>
      </c>
    </row>
    <row r="35" spans="2:58" s="136" customFormat="1">
      <c r="B35" s="195"/>
      <c r="C35" s="195"/>
      <c r="D35" s="196" t="str">
        <f>INVOICE!C11</f>
        <v>2 1/2 x 10</v>
      </c>
      <c r="E35" s="197">
        <f>INVOICE!D11</f>
        <v>1</v>
      </c>
      <c r="F35" s="198" t="s">
        <v>142</v>
      </c>
      <c r="G35" s="199" t="str">
        <f>INVOICE!B11</f>
        <v>Clavo con cabeza 18 x 27</v>
      </c>
      <c r="H35" s="197" t="str">
        <f>INVOICE!E11</f>
        <v>7317.00.90</v>
      </c>
      <c r="I35" s="211">
        <f>INVOICE!I11</f>
        <v>970</v>
      </c>
      <c r="J35" s="212">
        <f t="shared" si="16"/>
        <v>970</v>
      </c>
      <c r="K35" s="213">
        <f>INVOICE!H11</f>
        <v>1000</v>
      </c>
      <c r="L35" s="214">
        <f t="shared" si="48"/>
        <v>9.0909090909090912E-2</v>
      </c>
      <c r="M35" s="215">
        <f t="shared" si="17"/>
        <v>5315.6</v>
      </c>
      <c r="N35" s="216">
        <f t="shared" si="18"/>
        <v>234.9</v>
      </c>
      <c r="O35" s="215">
        <f t="shared" si="19"/>
        <v>1287.2520000000002</v>
      </c>
      <c r="P35" s="215">
        <f t="shared" si="20"/>
        <v>0</v>
      </c>
      <c r="Q35" s="212">
        <f t="shared" si="21"/>
        <v>1204.9000000000001</v>
      </c>
      <c r="R35" s="215">
        <f t="shared" si="22"/>
        <v>6602.8520000000008</v>
      </c>
      <c r="S35" s="226"/>
      <c r="T35" s="215">
        <f t="shared" si="23"/>
        <v>0</v>
      </c>
      <c r="U35" s="215">
        <f t="shared" si="24"/>
        <v>14.02090909090909</v>
      </c>
      <c r="V35" s="212">
        <v>0</v>
      </c>
      <c r="W35" s="215">
        <v>0</v>
      </c>
      <c r="X35" s="215">
        <f t="shared" si="25"/>
        <v>363.63636363636363</v>
      </c>
      <c r="Y35" s="228">
        <v>0.25</v>
      </c>
      <c r="Z35" s="215">
        <f t="shared" si="26"/>
        <v>1650.7130000000002</v>
      </c>
      <c r="AA35" s="212">
        <f t="shared" si="27"/>
        <v>1204.9000000000001</v>
      </c>
      <c r="AB35" s="212">
        <f t="shared" si="28"/>
        <v>1204.9000000000001</v>
      </c>
      <c r="AC35" s="229"/>
      <c r="AD35" s="215">
        <f t="shared" si="29"/>
        <v>8253.5650000000005</v>
      </c>
      <c r="AE35" s="228">
        <v>6.5000000000000002E-2</v>
      </c>
      <c r="AF35" s="215">
        <f t="shared" si="30"/>
        <v>536.4817250000001</v>
      </c>
      <c r="AG35" s="228">
        <v>2.1000000000000001E-2</v>
      </c>
      <c r="AH35" s="215">
        <f t="shared" si="31"/>
        <v>138.65989200000001</v>
      </c>
      <c r="AI35" s="228">
        <v>9.6500000000000002E-2</v>
      </c>
      <c r="AJ35" s="215">
        <f t="shared" si="32"/>
        <v>637.17521800000009</v>
      </c>
      <c r="AK35" s="215">
        <f t="shared" si="33"/>
        <v>637.17521800000009</v>
      </c>
      <c r="AL35" s="215">
        <f t="shared" si="34"/>
        <v>9979.0653584280317</v>
      </c>
      <c r="AM35" s="231">
        <v>0.01</v>
      </c>
      <c r="AN35" s="215">
        <f t="shared" si="35"/>
        <v>99.790653584280321</v>
      </c>
      <c r="AO35" s="215">
        <f t="shared" si="36"/>
        <v>10043.329761311554</v>
      </c>
      <c r="AP35" s="215">
        <f t="shared" si="37"/>
        <v>10043.329761311554</v>
      </c>
      <c r="AR35" s="215">
        <f t="shared" si="38"/>
        <v>8631.2222727272747</v>
      </c>
      <c r="AS35" s="215">
        <f t="shared" si="39"/>
        <v>8631.2222727272747</v>
      </c>
      <c r="AT35" s="215">
        <f t="shared" si="40"/>
        <v>8631.2222727272747</v>
      </c>
      <c r="AU35" s="232">
        <f>'EST. DE CUSTO - IMP. PRÓPRIA'!$H$68</f>
        <v>0.65174242424242423</v>
      </c>
      <c r="AV35" s="229">
        <f t="shared" si="41"/>
        <v>13243.302801348371</v>
      </c>
      <c r="AW35" s="231">
        <f>'EST. DE CUSTO - IMP. PRÓPRIA'!$F$63</f>
        <v>0.04</v>
      </c>
      <c r="AX35" s="229">
        <f t="shared" si="42"/>
        <v>529.73211205393488</v>
      </c>
      <c r="AY35" s="229">
        <f t="shared" si="43"/>
        <v>860.81468208764409</v>
      </c>
      <c r="AZ35" s="229">
        <v>0</v>
      </c>
      <c r="BA35" s="229">
        <f t="shared" si="44"/>
        <v>14104.117483436015</v>
      </c>
      <c r="BB35" s="229">
        <f t="shared" si="45"/>
        <v>14104.117483436015</v>
      </c>
      <c r="BD35" s="229">
        <v>0</v>
      </c>
      <c r="BE35" s="215">
        <f t="shared" si="46"/>
        <v>14104.117483436015</v>
      </c>
      <c r="BF35" s="215">
        <f t="shared" si="47"/>
        <v>14104.117483436015</v>
      </c>
    </row>
    <row r="36" spans="2:58" s="136" customFormat="1">
      <c r="B36" s="195"/>
      <c r="C36" s="195"/>
      <c r="D36" s="196" t="str">
        <f>INVOICE!C12</f>
        <v>3 1/4 x 10</v>
      </c>
      <c r="E36" s="197">
        <f>INVOICE!D12</f>
        <v>1</v>
      </c>
      <c r="F36" s="198" t="s">
        <v>142</v>
      </c>
      <c r="G36" s="199" t="str">
        <f>INVOICE!B12</f>
        <v>Clavo con cabeza 18 x 36</v>
      </c>
      <c r="H36" s="197" t="str">
        <f>INVOICE!E12</f>
        <v>7317.00.90</v>
      </c>
      <c r="I36" s="211">
        <f>INVOICE!I12</f>
        <v>970</v>
      </c>
      <c r="J36" s="212">
        <f t="shared" si="16"/>
        <v>970</v>
      </c>
      <c r="K36" s="213">
        <f>INVOICE!H12</f>
        <v>1000</v>
      </c>
      <c r="L36" s="214">
        <f t="shared" si="48"/>
        <v>9.0909090909090912E-2</v>
      </c>
      <c r="M36" s="215">
        <f t="shared" si="17"/>
        <v>5315.6</v>
      </c>
      <c r="N36" s="216">
        <f t="shared" si="18"/>
        <v>234.9</v>
      </c>
      <c r="O36" s="215">
        <f t="shared" si="19"/>
        <v>1287.2520000000002</v>
      </c>
      <c r="P36" s="215">
        <f t="shared" si="20"/>
        <v>0</v>
      </c>
      <c r="Q36" s="212">
        <f t="shared" si="21"/>
        <v>1204.9000000000001</v>
      </c>
      <c r="R36" s="215">
        <f t="shared" si="22"/>
        <v>6602.8520000000008</v>
      </c>
      <c r="S36" s="226"/>
      <c r="T36" s="215">
        <f t="shared" si="23"/>
        <v>0</v>
      </c>
      <c r="U36" s="215">
        <f t="shared" si="24"/>
        <v>14.02090909090909</v>
      </c>
      <c r="V36" s="212">
        <v>0</v>
      </c>
      <c r="W36" s="215">
        <v>0</v>
      </c>
      <c r="X36" s="215">
        <f t="shared" si="25"/>
        <v>363.63636363636363</v>
      </c>
      <c r="Y36" s="228">
        <v>0.25</v>
      </c>
      <c r="Z36" s="215">
        <f t="shared" si="26"/>
        <v>1650.7130000000002</v>
      </c>
      <c r="AA36" s="212">
        <f t="shared" si="27"/>
        <v>1204.9000000000001</v>
      </c>
      <c r="AB36" s="212">
        <f t="shared" si="28"/>
        <v>1204.9000000000001</v>
      </c>
      <c r="AC36" s="229"/>
      <c r="AD36" s="215">
        <f t="shared" si="29"/>
        <v>8253.5650000000005</v>
      </c>
      <c r="AE36" s="228">
        <v>6.5000000000000002E-2</v>
      </c>
      <c r="AF36" s="215">
        <f t="shared" si="30"/>
        <v>536.4817250000001</v>
      </c>
      <c r="AG36" s="228">
        <v>2.1000000000000001E-2</v>
      </c>
      <c r="AH36" s="215">
        <f t="shared" si="31"/>
        <v>138.65989200000001</v>
      </c>
      <c r="AI36" s="228">
        <v>9.6500000000000002E-2</v>
      </c>
      <c r="AJ36" s="215">
        <f t="shared" si="32"/>
        <v>637.17521800000009</v>
      </c>
      <c r="AK36" s="215">
        <f t="shared" si="33"/>
        <v>637.17521800000009</v>
      </c>
      <c r="AL36" s="215">
        <f t="shared" si="34"/>
        <v>9979.0653584280317</v>
      </c>
      <c r="AM36" s="231">
        <v>0.01</v>
      </c>
      <c r="AN36" s="215">
        <f t="shared" si="35"/>
        <v>99.790653584280321</v>
      </c>
      <c r="AO36" s="215">
        <f t="shared" si="36"/>
        <v>10043.329761311554</v>
      </c>
      <c r="AP36" s="215">
        <f t="shared" si="37"/>
        <v>10043.329761311554</v>
      </c>
      <c r="AR36" s="215">
        <f t="shared" si="38"/>
        <v>8631.2222727272747</v>
      </c>
      <c r="AS36" s="215">
        <f t="shared" si="39"/>
        <v>8631.2222727272747</v>
      </c>
      <c r="AT36" s="215">
        <f t="shared" si="40"/>
        <v>8631.2222727272747</v>
      </c>
      <c r="AU36" s="232">
        <f>'EST. DE CUSTO - IMP. PRÓPRIA'!$H$68</f>
        <v>0.65174242424242423</v>
      </c>
      <c r="AV36" s="229">
        <f t="shared" si="41"/>
        <v>13243.302801348371</v>
      </c>
      <c r="AW36" s="231">
        <f>'EST. DE CUSTO - IMP. PRÓPRIA'!$F$63</f>
        <v>0.04</v>
      </c>
      <c r="AX36" s="229">
        <f t="shared" si="42"/>
        <v>529.73211205393488</v>
      </c>
      <c r="AY36" s="229">
        <f t="shared" si="43"/>
        <v>860.81468208764409</v>
      </c>
      <c r="AZ36" s="229">
        <v>0</v>
      </c>
      <c r="BA36" s="229">
        <f t="shared" si="44"/>
        <v>14104.117483436015</v>
      </c>
      <c r="BB36" s="229">
        <f t="shared" si="45"/>
        <v>14104.117483436015</v>
      </c>
      <c r="BD36" s="229">
        <v>0</v>
      </c>
      <c r="BE36" s="215">
        <f t="shared" si="46"/>
        <v>14104.117483436015</v>
      </c>
      <c r="BF36" s="215">
        <f t="shared" si="47"/>
        <v>14104.117483436015</v>
      </c>
    </row>
    <row r="37" spans="2:58" s="136" customFormat="1">
      <c r="B37" s="195"/>
      <c r="C37" s="195"/>
      <c r="D37" s="196" t="str">
        <f>INVOICE!C13</f>
        <v>3 1/4 x 9</v>
      </c>
      <c r="E37" s="197">
        <f>INVOICE!D13</f>
        <v>1</v>
      </c>
      <c r="F37" s="198" t="s">
        <v>142</v>
      </c>
      <c r="G37" s="199" t="str">
        <f>INVOICE!B13</f>
        <v>Clavo con cabeza 19 x 36</v>
      </c>
      <c r="H37" s="197" t="str">
        <f>INVOICE!E13</f>
        <v>7317.00.90</v>
      </c>
      <c r="I37" s="211">
        <f>INVOICE!I13</f>
        <v>970</v>
      </c>
      <c r="J37" s="212">
        <f t="shared" si="16"/>
        <v>970</v>
      </c>
      <c r="K37" s="213">
        <f>INVOICE!H13</f>
        <v>1000</v>
      </c>
      <c r="L37" s="214">
        <f t="shared" si="48"/>
        <v>9.0909090909090912E-2</v>
      </c>
      <c r="M37" s="215">
        <f t="shared" si="17"/>
        <v>5315.6</v>
      </c>
      <c r="N37" s="216">
        <f t="shared" si="18"/>
        <v>234.9</v>
      </c>
      <c r="O37" s="215">
        <f t="shared" si="19"/>
        <v>1287.2520000000002</v>
      </c>
      <c r="P37" s="215">
        <f t="shared" si="20"/>
        <v>0</v>
      </c>
      <c r="Q37" s="212">
        <f t="shared" si="21"/>
        <v>1204.9000000000001</v>
      </c>
      <c r="R37" s="215">
        <f t="shared" si="22"/>
        <v>6602.8520000000008</v>
      </c>
      <c r="S37" s="226"/>
      <c r="T37" s="215">
        <f t="shared" si="23"/>
        <v>0</v>
      </c>
      <c r="U37" s="215">
        <f t="shared" si="24"/>
        <v>14.02090909090909</v>
      </c>
      <c r="V37" s="212">
        <v>0</v>
      </c>
      <c r="W37" s="215">
        <v>0</v>
      </c>
      <c r="X37" s="215">
        <f t="shared" si="25"/>
        <v>363.63636363636363</v>
      </c>
      <c r="Y37" s="228">
        <v>0.25</v>
      </c>
      <c r="Z37" s="215">
        <f t="shared" si="26"/>
        <v>1650.7130000000002</v>
      </c>
      <c r="AA37" s="212">
        <f t="shared" si="27"/>
        <v>1204.9000000000001</v>
      </c>
      <c r="AB37" s="212">
        <f t="shared" si="28"/>
        <v>1204.9000000000001</v>
      </c>
      <c r="AC37" s="229"/>
      <c r="AD37" s="215">
        <f t="shared" si="29"/>
        <v>8253.5650000000005</v>
      </c>
      <c r="AE37" s="228">
        <v>6.5000000000000002E-2</v>
      </c>
      <c r="AF37" s="215">
        <f t="shared" si="30"/>
        <v>536.4817250000001</v>
      </c>
      <c r="AG37" s="228">
        <v>2.1000000000000001E-2</v>
      </c>
      <c r="AH37" s="215">
        <f t="shared" si="31"/>
        <v>138.65989200000001</v>
      </c>
      <c r="AI37" s="228">
        <v>9.6500000000000002E-2</v>
      </c>
      <c r="AJ37" s="215">
        <f t="shared" si="32"/>
        <v>637.17521800000009</v>
      </c>
      <c r="AK37" s="215">
        <f t="shared" si="33"/>
        <v>637.17521800000009</v>
      </c>
      <c r="AL37" s="215">
        <f t="shared" si="34"/>
        <v>9979.0653584280317</v>
      </c>
      <c r="AM37" s="231">
        <v>0.01</v>
      </c>
      <c r="AN37" s="215">
        <f t="shared" si="35"/>
        <v>99.790653584280321</v>
      </c>
      <c r="AO37" s="215">
        <f t="shared" si="36"/>
        <v>10043.329761311554</v>
      </c>
      <c r="AP37" s="215">
        <f t="shared" si="37"/>
        <v>10043.329761311554</v>
      </c>
      <c r="AR37" s="215">
        <f t="shared" si="38"/>
        <v>8631.2222727272747</v>
      </c>
      <c r="AS37" s="215">
        <f t="shared" si="39"/>
        <v>8631.2222727272747</v>
      </c>
      <c r="AT37" s="215">
        <f t="shared" si="40"/>
        <v>8631.2222727272747</v>
      </c>
      <c r="AU37" s="232">
        <f>'EST. DE CUSTO - IMP. PRÓPRIA'!$H$68</f>
        <v>0.65174242424242423</v>
      </c>
      <c r="AV37" s="229">
        <f t="shared" si="41"/>
        <v>13243.302801348371</v>
      </c>
      <c r="AW37" s="231">
        <f>'EST. DE CUSTO - IMP. PRÓPRIA'!$F$63</f>
        <v>0.04</v>
      </c>
      <c r="AX37" s="229">
        <f t="shared" si="42"/>
        <v>529.73211205393488</v>
      </c>
      <c r="AY37" s="229">
        <f t="shared" si="43"/>
        <v>860.81468208764409</v>
      </c>
      <c r="AZ37" s="229">
        <v>0</v>
      </c>
      <c r="BA37" s="229">
        <f t="shared" si="44"/>
        <v>14104.117483436015</v>
      </c>
      <c r="BB37" s="229">
        <f t="shared" si="45"/>
        <v>14104.117483436015</v>
      </c>
      <c r="BD37" s="229">
        <v>0</v>
      </c>
      <c r="BE37" s="215">
        <f t="shared" si="46"/>
        <v>14104.117483436015</v>
      </c>
      <c r="BF37" s="215">
        <f t="shared" si="47"/>
        <v>14104.117483436015</v>
      </c>
    </row>
    <row r="38" spans="2:58" s="137" customFormat="1" ht="15.6">
      <c r="B38" s="233"/>
      <c r="C38" s="233"/>
      <c r="D38" s="207"/>
      <c r="E38" s="234">
        <f>SUM(E27:E37)</f>
        <v>11</v>
      </c>
      <c r="F38" s="207"/>
      <c r="G38" s="207"/>
      <c r="H38" s="207"/>
      <c r="I38" s="207"/>
      <c r="J38" s="237">
        <f>SUM(J27:J37)</f>
        <v>11300</v>
      </c>
      <c r="K38" s="238">
        <f>SUM(K27:K37)</f>
        <v>11000</v>
      </c>
      <c r="L38" s="239">
        <f>SUM(L27:L37)</f>
        <v>1.0000000000000002</v>
      </c>
      <c r="M38" s="240">
        <f>SUM(M27:M37)</f>
        <v>61924</v>
      </c>
      <c r="N38" s="241">
        <f>SUM(N27:N37)</f>
        <v>2583.9000000000005</v>
      </c>
      <c r="O38" s="240">
        <f>SUM(O27:O37)</f>
        <v>14159.772000000003</v>
      </c>
      <c r="P38" s="240">
        <f>SUM(P27:P37)</f>
        <v>0</v>
      </c>
      <c r="Q38" s="237">
        <f>SUM(Q27:Q37)</f>
        <v>13883.899999999998</v>
      </c>
      <c r="R38" s="240">
        <f>SUM(R27:R37)</f>
        <v>76083.772000000012</v>
      </c>
      <c r="S38" s="207"/>
      <c r="T38" s="240">
        <f>SUM(T27:T37)</f>
        <v>0</v>
      </c>
      <c r="U38" s="240">
        <f>SUM(U27:U37)</f>
        <v>154.22999999999999</v>
      </c>
      <c r="V38" s="246"/>
      <c r="W38" s="240">
        <f>SUM(W27:W37)</f>
        <v>0</v>
      </c>
      <c r="X38" s="240">
        <f>SUM(X27:X37)</f>
        <v>3999.9999999999991</v>
      </c>
      <c r="Y38" s="207"/>
      <c r="Z38" s="240">
        <f>SUM(Z27:Z37)</f>
        <v>19020.943000000003</v>
      </c>
      <c r="AA38" s="248"/>
      <c r="AB38" s="249"/>
      <c r="AC38" s="250"/>
      <c r="AD38" s="240">
        <f>SUM(AD27:AD37)</f>
        <v>95104.715000000011</v>
      </c>
      <c r="AE38" s="207"/>
      <c r="AF38" s="240">
        <f>SUM(AF27:AF37)</f>
        <v>6181.8064749999994</v>
      </c>
      <c r="AG38" s="207"/>
      <c r="AH38" s="240">
        <f>SUM(AH27:AH37)</f>
        <v>1597.7592120000004</v>
      </c>
      <c r="AI38" s="207"/>
      <c r="AJ38" s="240">
        <f>SUM(AJ27:AJ37)</f>
        <v>7342.0839980000019</v>
      </c>
      <c r="AK38" s="240">
        <f>SUM(AK27:AK37)</f>
        <v>7342.0839980000019</v>
      </c>
      <c r="AL38" s="240">
        <f>SUM(AL27:AL37)</f>
        <v>114979.78613020838</v>
      </c>
      <c r="AM38" s="207"/>
      <c r="AN38" s="240">
        <f>SUM(AN27:AN37)</f>
        <v>1149.7978613020837</v>
      </c>
      <c r="AO38" s="240">
        <f>SUM(AO27:AO37)</f>
        <v>115530.39254630213</v>
      </c>
      <c r="AP38" s="257"/>
      <c r="AQ38" s="258"/>
      <c r="AR38" s="259">
        <f>SUM(AR27:AR37)</f>
        <v>99258.945000000022</v>
      </c>
      <c r="AS38" s="259">
        <f>SUM(AS27:AS37)</f>
        <v>99258.945000000022</v>
      </c>
      <c r="AT38" s="207"/>
      <c r="AU38" s="207"/>
      <c r="AV38" s="259">
        <f>SUM(AV27:AV37)</f>
        <v>152297.81169359531</v>
      </c>
      <c r="AW38" s="207"/>
      <c r="AX38" s="259">
        <f>SUM(AX27:AX37)</f>
        <v>6091.9124677438112</v>
      </c>
      <c r="AY38" s="259">
        <f>SUM(AY27:AY37)</f>
        <v>9899.3577600836961</v>
      </c>
      <c r="AZ38" s="259">
        <f>SUM(AZ27:AZ37)</f>
        <v>0</v>
      </c>
      <c r="BA38" s="259">
        <f>SUM(BA27:BA37)</f>
        <v>162197.16945367897</v>
      </c>
      <c r="BB38" s="207"/>
      <c r="BD38" s="259">
        <f>SUM(BD27:BD37)</f>
        <v>0</v>
      </c>
      <c r="BE38" s="259">
        <f>SUM(BE27:BE37)</f>
        <v>162197.16945367897</v>
      </c>
      <c r="BF38" s="207"/>
    </row>
    <row r="39" spans="2:58" s="136" customFormat="1">
      <c r="B39" s="235"/>
      <c r="C39" s="235"/>
      <c r="D39" s="235"/>
      <c r="E39" s="236"/>
      <c r="F39" s="236"/>
      <c r="H39" s="236"/>
      <c r="I39" s="242"/>
      <c r="J39" s="242"/>
      <c r="K39" s="242"/>
      <c r="L39" s="243"/>
      <c r="M39" s="244"/>
      <c r="N39" s="245"/>
      <c r="O39" s="244"/>
      <c r="P39" s="244"/>
      <c r="Q39" s="245"/>
      <c r="R39" s="244"/>
      <c r="S39" s="244"/>
      <c r="T39" s="247"/>
      <c r="U39" s="247"/>
      <c r="V39" s="247"/>
      <c r="W39" s="247"/>
      <c r="X39" s="244"/>
      <c r="Y39" s="251"/>
      <c r="Z39" s="244"/>
      <c r="AA39" s="244"/>
      <c r="AB39" s="244"/>
      <c r="AC39" s="247"/>
      <c r="AD39" s="252"/>
      <c r="AE39" s="253"/>
      <c r="AF39" s="244"/>
      <c r="AG39" s="256"/>
      <c r="AH39" s="244"/>
      <c r="AI39" s="256"/>
      <c r="AJ39" s="244"/>
      <c r="AK39" s="244"/>
      <c r="AL39" s="244"/>
      <c r="AM39" s="244"/>
      <c r="AN39" s="244"/>
      <c r="AO39" s="247"/>
      <c r="AP39" s="247"/>
      <c r="AR39" s="260"/>
      <c r="AS39" s="260"/>
      <c r="AT39" s="260"/>
      <c r="AU39" s="260"/>
      <c r="AV39" s="260"/>
      <c r="AW39" s="260"/>
      <c r="AX39" s="260"/>
      <c r="AY39" s="260"/>
      <c r="AZ39" s="260"/>
      <c r="BA39" s="260"/>
      <c r="BB39" s="260"/>
    </row>
    <row r="40" spans="2:58" s="136" customFormat="1">
      <c r="B40" s="235"/>
      <c r="C40" s="235"/>
      <c r="D40" s="235"/>
      <c r="E40" s="236"/>
      <c r="F40" s="236"/>
      <c r="G40" s="236"/>
      <c r="H40" s="236"/>
      <c r="I40" s="242"/>
      <c r="J40" s="242"/>
      <c r="K40" s="242"/>
      <c r="L40" s="243"/>
      <c r="M40" s="244"/>
      <c r="N40" s="245"/>
      <c r="O40" s="244"/>
      <c r="P40" s="244"/>
      <c r="Q40" s="245"/>
      <c r="R40" s="244"/>
      <c r="S40" s="244"/>
      <c r="T40" s="247"/>
      <c r="U40" s="247"/>
      <c r="V40" s="247"/>
      <c r="W40" s="247"/>
      <c r="X40" s="244"/>
      <c r="Y40" s="251"/>
      <c r="Z40" s="244"/>
      <c r="AA40" s="244"/>
      <c r="AB40" s="244"/>
      <c r="AC40" s="247"/>
      <c r="AD40" s="252"/>
      <c r="AE40" s="253"/>
      <c r="AF40" s="244"/>
      <c r="AG40" s="256"/>
      <c r="AH40" s="244"/>
      <c r="AI40" s="256"/>
      <c r="AJ40" s="244"/>
      <c r="AK40" s="244"/>
      <c r="AL40" s="244"/>
      <c r="AM40" s="244"/>
      <c r="AN40" s="244"/>
      <c r="AO40" s="247"/>
      <c r="AP40" s="247"/>
      <c r="AR40" s="260"/>
      <c r="AS40" s="260"/>
      <c r="AT40" s="260"/>
      <c r="AU40" s="260"/>
      <c r="AV40" s="260"/>
      <c r="AW40" s="260"/>
      <c r="AX40" s="260"/>
      <c r="AY40" s="260"/>
      <c r="AZ40" s="260"/>
      <c r="BA40" s="260"/>
      <c r="BB40" s="260"/>
    </row>
    <row r="41" spans="2:58">
      <c r="Y41" s="254"/>
      <c r="AG41" s="254"/>
    </row>
    <row r="42" spans="2:58">
      <c r="AB42" s="255"/>
      <c r="AG42" s="254"/>
    </row>
    <row r="45" spans="2:58">
      <c r="AP45" s="254"/>
    </row>
  </sheetData>
  <autoFilter ref="A26:BC38" xr:uid="{00000000-0009-0000-0000-000001000000}"/>
  <mergeCells count="8">
    <mergeCell ref="B25:AP25"/>
    <mergeCell ref="AR25:BB25"/>
    <mergeCell ref="BD25:BF25"/>
    <mergeCell ref="B12:E12"/>
    <mergeCell ref="B16:D16"/>
    <mergeCell ref="B19:D19"/>
    <mergeCell ref="B22:D22"/>
    <mergeCell ref="B23:D23"/>
  </mergeCells>
  <pageMargins left="0.7" right="0.7" top="0.75" bottom="0.75" header="0.3" footer="0.3"/>
  <pageSetup paperSize="9" scale="10" orientation="portrait" r:id="rId1"/>
  <colBreaks count="1" manualBreakCount="1"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850"/>
  <sheetViews>
    <sheetView showGridLines="0" tabSelected="1" topLeftCell="D55" zoomScale="55" zoomScaleNormal="55" workbookViewId="0">
      <selection activeCell="L78" sqref="L77:L78"/>
    </sheetView>
  </sheetViews>
  <sheetFormatPr defaultColWidth="11.19921875" defaultRowHeight="20.399999999999999"/>
  <cols>
    <col min="1" max="1" width="4.19921875" style="2" customWidth="1"/>
    <col min="2" max="2" width="49.69921875" style="2" customWidth="1"/>
    <col min="3" max="3" width="62.3984375" style="2" bestFit="1" customWidth="1"/>
    <col min="4" max="4" width="29" style="2" customWidth="1"/>
    <col min="5" max="5" width="26.69921875" style="2" customWidth="1"/>
    <col min="6" max="6" width="37.796875" style="2" customWidth="1"/>
    <col min="7" max="7" width="33.09765625" style="2" customWidth="1"/>
    <col min="8" max="8" width="24.19921875" style="2" customWidth="1"/>
    <col min="9" max="9" width="20.09765625" style="2" customWidth="1"/>
    <col min="10" max="10" width="24.19921875" style="2" customWidth="1"/>
    <col min="11" max="11" width="28.8984375" style="2" bestFit="1" customWidth="1"/>
    <col min="12" max="12" width="31.5" style="2" customWidth="1"/>
    <col min="13" max="15" width="24.8984375" style="2" customWidth="1"/>
    <col min="16" max="16" width="20.59765625" style="2" bestFit="1" customWidth="1"/>
    <col min="17" max="17" width="20.59765625" style="2" customWidth="1"/>
    <col min="18" max="16384" width="11.19921875" style="2"/>
  </cols>
  <sheetData>
    <row r="1" spans="1:13">
      <c r="A1" s="3"/>
      <c r="C1" s="3"/>
      <c r="D1" s="3"/>
      <c r="E1" s="3"/>
      <c r="F1" s="3"/>
      <c r="G1" s="3"/>
      <c r="H1" s="3"/>
      <c r="I1" s="81"/>
      <c r="J1" s="81"/>
      <c r="K1" s="81"/>
      <c r="L1" s="81"/>
      <c r="M1" s="82"/>
    </row>
    <row r="2" spans="1:13">
      <c r="A2" s="3"/>
      <c r="B2" s="287" t="s">
        <v>75</v>
      </c>
      <c r="C2" s="288"/>
      <c r="D2" s="288"/>
      <c r="E2" s="288"/>
      <c r="F2" s="288"/>
      <c r="G2" s="288"/>
      <c r="H2" s="288"/>
      <c r="I2" s="81"/>
      <c r="J2" s="81"/>
      <c r="K2" s="81"/>
      <c r="L2" s="81"/>
      <c r="M2" s="82"/>
    </row>
    <row r="3" spans="1:13">
      <c r="A3" s="3"/>
      <c r="B3" s="287"/>
      <c r="C3" s="288"/>
      <c r="D3" s="288"/>
      <c r="E3" s="288"/>
      <c r="F3" s="288"/>
      <c r="G3" s="288"/>
      <c r="H3" s="288"/>
      <c r="I3" s="81"/>
      <c r="J3" s="81"/>
      <c r="K3" s="81"/>
      <c r="L3" s="81"/>
      <c r="M3" s="82"/>
    </row>
    <row r="4" spans="1:13">
      <c r="A4" s="3"/>
      <c r="B4" s="287"/>
      <c r="C4" s="288"/>
      <c r="D4" s="288"/>
      <c r="E4" s="288"/>
      <c r="F4" s="288"/>
      <c r="G4" s="288"/>
      <c r="H4" s="288"/>
      <c r="I4" s="81"/>
      <c r="J4" s="81"/>
      <c r="K4" s="81"/>
      <c r="L4" s="81"/>
      <c r="M4" s="82"/>
    </row>
    <row r="5" spans="1:13">
      <c r="A5" s="3"/>
      <c r="B5" s="288"/>
      <c r="C5" s="288"/>
      <c r="D5" s="288"/>
      <c r="E5" s="288"/>
      <c r="F5" s="288"/>
      <c r="G5" s="288"/>
      <c r="H5" s="288"/>
      <c r="I5" s="81"/>
      <c r="J5" s="81"/>
      <c r="K5" s="81"/>
      <c r="L5" s="81"/>
      <c r="M5" s="82"/>
    </row>
    <row r="6" spans="1:13" ht="21">
      <c r="A6" s="3"/>
      <c r="B6" s="3"/>
      <c r="C6" s="3"/>
      <c r="D6" s="3"/>
      <c r="E6" s="3"/>
      <c r="F6" s="3"/>
      <c r="G6" s="4"/>
      <c r="H6" s="3"/>
      <c r="I6" s="81"/>
      <c r="J6" s="81"/>
      <c r="K6" s="81"/>
      <c r="L6" s="81"/>
      <c r="M6" s="82"/>
    </row>
    <row r="7" spans="1:13">
      <c r="A7" s="3"/>
      <c r="B7" s="5" t="s">
        <v>76</v>
      </c>
      <c r="C7" s="3"/>
      <c r="D7" s="3"/>
      <c r="E7" s="3"/>
      <c r="F7" s="3"/>
      <c r="G7" s="3"/>
      <c r="H7" s="3"/>
      <c r="I7" s="81"/>
      <c r="J7" s="81"/>
      <c r="K7" s="81"/>
      <c r="L7" s="81"/>
      <c r="M7" s="82"/>
    </row>
    <row r="8" spans="1:13" ht="21">
      <c r="A8" s="3"/>
      <c r="B8" s="6" t="s">
        <v>77</v>
      </c>
      <c r="C8" s="298"/>
      <c r="D8" s="299"/>
      <c r="E8" s="299"/>
      <c r="F8" s="299"/>
      <c r="G8" s="299"/>
      <c r="H8" s="300"/>
      <c r="I8" s="81"/>
      <c r="J8" s="81"/>
      <c r="K8" s="81"/>
      <c r="L8" s="81"/>
      <c r="M8" s="82"/>
    </row>
    <row r="9" spans="1:13" ht="21">
      <c r="A9" s="8"/>
      <c r="B9" s="9" t="s">
        <v>78</v>
      </c>
      <c r="C9" s="10"/>
      <c r="D9" s="11"/>
      <c r="E9" s="301"/>
      <c r="F9" s="302"/>
      <c r="G9" s="303"/>
      <c r="H9" s="304"/>
      <c r="I9" s="81"/>
      <c r="J9" s="81"/>
      <c r="K9" s="81"/>
      <c r="L9" s="81"/>
      <c r="M9" s="82"/>
    </row>
    <row r="10" spans="1:13" ht="21">
      <c r="A10" s="3"/>
      <c r="B10" s="12" t="s">
        <v>79</v>
      </c>
      <c r="C10" s="305"/>
      <c r="D10" s="306"/>
      <c r="E10" s="306"/>
      <c r="F10" s="306"/>
      <c r="G10" s="306"/>
      <c r="H10" s="307"/>
      <c r="I10" s="81"/>
      <c r="J10" s="81"/>
      <c r="K10" s="81"/>
      <c r="L10" s="81"/>
      <c r="M10" s="82"/>
    </row>
    <row r="11" spans="1:13">
      <c r="A11" s="3"/>
      <c r="B11" s="5"/>
      <c r="C11" s="3"/>
      <c r="D11" s="3"/>
      <c r="E11" s="3"/>
      <c r="F11" s="3"/>
      <c r="G11" s="3"/>
      <c r="H11" s="3"/>
      <c r="I11" s="81"/>
      <c r="J11" s="81"/>
      <c r="K11" s="81"/>
      <c r="L11" s="81"/>
      <c r="M11" s="82"/>
    </row>
    <row r="12" spans="1:13">
      <c r="A12" s="3"/>
      <c r="B12" s="5" t="s">
        <v>80</v>
      </c>
      <c r="C12" s="3"/>
      <c r="D12" s="3"/>
      <c r="E12" s="3"/>
      <c r="F12" s="3"/>
      <c r="G12" s="3"/>
      <c r="H12" s="3"/>
      <c r="I12" s="81"/>
      <c r="J12" s="81"/>
      <c r="K12" s="81"/>
      <c r="L12" s="81"/>
      <c r="M12" s="82"/>
    </row>
    <row r="13" spans="1:13" ht="21">
      <c r="A13" s="3"/>
      <c r="B13" s="13" t="s">
        <v>81</v>
      </c>
      <c r="C13" s="308" t="s">
        <v>176</v>
      </c>
      <c r="D13" s="309"/>
      <c r="E13" s="309"/>
      <c r="F13" s="309"/>
      <c r="G13" s="309"/>
      <c r="H13" s="310"/>
      <c r="I13" s="81"/>
      <c r="J13" s="81"/>
      <c r="K13" s="81"/>
      <c r="L13" s="81"/>
      <c r="M13" s="82"/>
    </row>
    <row r="14" spans="1:13">
      <c r="A14" s="3"/>
      <c r="B14" s="14"/>
      <c r="C14" s="15"/>
      <c r="D14" s="14"/>
      <c r="E14" s="3"/>
      <c r="F14" s="14"/>
      <c r="G14" s="14"/>
      <c r="H14" s="14"/>
      <c r="I14" s="81"/>
      <c r="J14" s="81"/>
      <c r="K14" s="81"/>
      <c r="L14" s="81"/>
      <c r="M14" s="82"/>
    </row>
    <row r="15" spans="1:13">
      <c r="A15" s="5"/>
      <c r="B15" s="16" t="s">
        <v>82</v>
      </c>
      <c r="C15" s="17" t="s">
        <v>83</v>
      </c>
      <c r="D15" s="18"/>
      <c r="E15" s="291" t="s">
        <v>84</v>
      </c>
      <c r="F15" s="292"/>
      <c r="G15" s="292"/>
      <c r="H15" s="20"/>
      <c r="I15" s="81"/>
      <c r="J15" s="81"/>
      <c r="K15" s="81"/>
      <c r="L15" s="81"/>
      <c r="M15" s="82"/>
    </row>
    <row r="16" spans="1:13">
      <c r="A16" s="3"/>
      <c r="B16" s="21"/>
      <c r="C16" s="22">
        <f>'CUSTO MERCADORIA - IMP. PRÓPRIA'!H7</f>
        <v>5.48</v>
      </c>
      <c r="D16" s="23"/>
      <c r="E16" s="293" t="s">
        <v>85</v>
      </c>
      <c r="F16" s="294"/>
      <c r="G16" s="294"/>
      <c r="H16" s="25"/>
      <c r="I16" s="81"/>
      <c r="J16" s="81"/>
      <c r="K16" s="81"/>
      <c r="L16" s="81"/>
      <c r="M16" s="82"/>
    </row>
    <row r="17" spans="1:13">
      <c r="A17" s="3"/>
      <c r="B17" s="3"/>
      <c r="C17" s="3"/>
      <c r="D17" s="3"/>
      <c r="E17" s="3"/>
      <c r="F17" s="3"/>
      <c r="G17" s="3"/>
      <c r="H17" s="3"/>
      <c r="I17" s="81"/>
      <c r="J17" s="81"/>
      <c r="K17" s="81"/>
      <c r="L17" s="81"/>
      <c r="M17" s="82"/>
    </row>
    <row r="18" spans="1:13">
      <c r="A18" s="5"/>
      <c r="B18" s="5" t="s">
        <v>86</v>
      </c>
      <c r="C18" s="5"/>
      <c r="D18" s="5"/>
      <c r="E18" s="5"/>
      <c r="F18" s="5"/>
      <c r="G18" s="26" t="s">
        <v>87</v>
      </c>
      <c r="H18" s="26" t="s">
        <v>88</v>
      </c>
      <c r="I18" s="81"/>
      <c r="J18" s="81"/>
      <c r="K18" s="81"/>
      <c r="L18" s="81"/>
      <c r="M18" s="82"/>
    </row>
    <row r="19" spans="1:13" ht="21">
      <c r="A19" s="3"/>
      <c r="B19" s="6" t="s">
        <v>89</v>
      </c>
      <c r="C19" s="18"/>
      <c r="D19" s="18"/>
      <c r="E19" s="27"/>
      <c r="F19" s="27"/>
      <c r="G19" s="27">
        <f>'CUSTO MERCADORIA - IMP. PRÓPRIA'!D6</f>
        <v>11300</v>
      </c>
      <c r="H19" s="28">
        <f>G19*C16</f>
        <v>61924.000000000007</v>
      </c>
      <c r="I19" s="81"/>
      <c r="J19" s="81"/>
      <c r="K19" s="81"/>
      <c r="L19" s="81"/>
      <c r="M19" s="82"/>
    </row>
    <row r="20" spans="1:13" ht="21">
      <c r="A20" s="3"/>
      <c r="B20" s="9" t="s">
        <v>90</v>
      </c>
      <c r="C20" s="5"/>
      <c r="D20" s="5"/>
      <c r="E20" s="5"/>
      <c r="F20" s="5"/>
      <c r="G20" s="29">
        <f>'CUSTO MERCADORIA - IMP. PRÓPRIA'!D7</f>
        <v>2583.9</v>
      </c>
      <c r="H20" s="30">
        <f>G20*C16</f>
        <v>14159.772000000001</v>
      </c>
      <c r="I20" s="81"/>
      <c r="J20" s="81"/>
      <c r="K20" s="81"/>
      <c r="L20" s="81"/>
      <c r="M20" s="82"/>
    </row>
    <row r="21" spans="1:13" ht="21">
      <c r="A21" s="3"/>
      <c r="B21" s="9" t="s">
        <v>14</v>
      </c>
      <c r="C21" s="5"/>
      <c r="D21" s="5"/>
      <c r="E21" s="5"/>
      <c r="F21" s="5"/>
      <c r="G21" s="31">
        <f>'CUSTO MERCADORIA - IMP. PRÓPRIA'!D8</f>
        <v>0</v>
      </c>
      <c r="H21" s="32">
        <f>G21*C16</f>
        <v>0</v>
      </c>
      <c r="I21" s="81"/>
      <c r="J21" s="81"/>
      <c r="K21" s="81"/>
      <c r="L21" s="81"/>
      <c r="M21" s="82"/>
    </row>
    <row r="22" spans="1:13" ht="21">
      <c r="A22" s="3"/>
      <c r="B22" s="12" t="s">
        <v>91</v>
      </c>
      <c r="C22" s="33"/>
      <c r="D22" s="33"/>
      <c r="E22" s="33"/>
      <c r="F22" s="33"/>
      <c r="G22" s="34">
        <f>SUM(G19:G21)</f>
        <v>13883.9</v>
      </c>
      <c r="H22" s="35">
        <f>SUM(H19:H21)</f>
        <v>76083.772000000012</v>
      </c>
      <c r="I22" s="81"/>
      <c r="J22" s="81"/>
      <c r="K22" s="81"/>
      <c r="L22" s="81"/>
      <c r="M22" s="82"/>
    </row>
    <row r="23" spans="1:13">
      <c r="A23" s="3"/>
      <c r="B23" s="3"/>
      <c r="C23" s="3"/>
      <c r="D23" s="3"/>
      <c r="E23" s="3"/>
      <c r="F23" s="3"/>
      <c r="G23" s="3"/>
      <c r="H23" s="3"/>
      <c r="I23" s="81"/>
      <c r="J23" s="81"/>
      <c r="K23" s="81"/>
      <c r="L23" s="81"/>
      <c r="M23" s="82"/>
    </row>
    <row r="24" spans="1:13">
      <c r="A24" s="3"/>
      <c r="B24" s="14" t="s">
        <v>92</v>
      </c>
      <c r="C24" s="14"/>
      <c r="D24" s="14"/>
      <c r="F24" s="26"/>
      <c r="G24" s="24"/>
      <c r="H24" s="24" t="s">
        <v>88</v>
      </c>
      <c r="I24" s="81"/>
      <c r="J24" s="81"/>
      <c r="K24" s="81"/>
      <c r="L24" s="81"/>
      <c r="M24" s="82"/>
    </row>
    <row r="25" spans="1:13" ht="21">
      <c r="A25" s="3"/>
      <c r="B25" s="6" t="s">
        <v>93</v>
      </c>
      <c r="C25" s="18"/>
      <c r="D25" s="36"/>
      <c r="E25" s="36"/>
      <c r="F25" s="19"/>
      <c r="G25" s="26"/>
      <c r="H25" s="32">
        <f>'CUSTO MERCADORIA - IMP. PRÓPRIA'!Z38</f>
        <v>19020.943000000003</v>
      </c>
      <c r="I25" s="81"/>
      <c r="J25" s="81"/>
      <c r="K25" s="81"/>
      <c r="L25" s="81"/>
      <c r="M25" s="82"/>
    </row>
    <row r="26" spans="1:13" ht="21">
      <c r="A26" s="3"/>
      <c r="B26" s="9" t="s">
        <v>94</v>
      </c>
      <c r="C26" s="5"/>
      <c r="D26" s="5"/>
      <c r="E26" s="37"/>
      <c r="F26" s="26"/>
      <c r="G26" s="26"/>
      <c r="H26" s="32">
        <f>'CUSTO MERCADORIA - IMP. PRÓPRIA'!AF38</f>
        <v>6181.8064749999994</v>
      </c>
      <c r="I26" s="81"/>
      <c r="J26" s="81"/>
      <c r="K26" s="81"/>
      <c r="L26" s="81"/>
      <c r="M26" s="82"/>
    </row>
    <row r="27" spans="1:13" ht="21">
      <c r="A27" s="3"/>
      <c r="B27" s="9" t="s">
        <v>95</v>
      </c>
      <c r="C27" s="5"/>
      <c r="D27" s="5"/>
      <c r="E27" s="37"/>
      <c r="F27" s="26"/>
      <c r="G27" s="26"/>
      <c r="H27" s="32">
        <f>'CUSTO MERCADORIA - IMP. PRÓPRIA'!AH38</f>
        <v>1597.7592120000004</v>
      </c>
      <c r="I27" s="81"/>
      <c r="J27" s="81"/>
      <c r="K27" s="81"/>
      <c r="L27" s="81"/>
      <c r="M27" s="82"/>
    </row>
    <row r="28" spans="1:13" ht="21">
      <c r="A28" s="3"/>
      <c r="B28" s="9" t="s">
        <v>96</v>
      </c>
      <c r="C28" s="5"/>
      <c r="D28" s="5"/>
      <c r="E28" s="37"/>
      <c r="F28" s="26"/>
      <c r="G28" s="26"/>
      <c r="H28" s="32">
        <f>'CUSTO MERCADORIA - IMP. PRÓPRIA'!AJ38</f>
        <v>7342.0839980000019</v>
      </c>
      <c r="I28" s="81"/>
      <c r="J28" s="81"/>
      <c r="K28" s="81"/>
      <c r="L28" s="81"/>
      <c r="M28" s="82"/>
    </row>
    <row r="29" spans="1:13" ht="21">
      <c r="A29" s="3"/>
      <c r="B29" s="9" t="s">
        <v>97</v>
      </c>
      <c r="C29" s="5"/>
      <c r="D29" s="5"/>
      <c r="E29" s="37"/>
      <c r="F29" s="26"/>
      <c r="G29" s="26"/>
      <c r="H29" s="32">
        <f>'CUSTO MERCADORIA - IMP. PRÓPRIA'!AN38</f>
        <v>1149.7978613020837</v>
      </c>
      <c r="I29" s="81"/>
      <c r="J29" s="81"/>
      <c r="K29" s="81"/>
      <c r="L29" s="81"/>
      <c r="M29" s="82"/>
    </row>
    <row r="30" spans="1:13" ht="21">
      <c r="A30" s="3"/>
      <c r="B30" s="9" t="s">
        <v>98</v>
      </c>
      <c r="C30" s="5"/>
      <c r="D30" s="5"/>
      <c r="E30" s="26"/>
      <c r="F30" s="26"/>
      <c r="G30" s="26"/>
      <c r="H30" s="38">
        <f>'CUSTO MERCADORIA - IMP. PRÓPRIA'!H8</f>
        <v>154.22999999999999</v>
      </c>
      <c r="I30" s="81"/>
      <c r="J30" s="81"/>
      <c r="K30" s="81"/>
      <c r="L30" s="81"/>
      <c r="M30" s="82"/>
    </row>
    <row r="31" spans="1:13" ht="21">
      <c r="A31" s="5"/>
      <c r="B31" s="12" t="s">
        <v>99</v>
      </c>
      <c r="C31" s="39"/>
      <c r="D31" s="39"/>
      <c r="E31" s="39"/>
      <c r="F31" s="39"/>
      <c r="G31" s="39"/>
      <c r="H31" s="35">
        <f>SUM(H25:H30)</f>
        <v>35446.620546302096</v>
      </c>
      <c r="I31" s="81"/>
      <c r="J31" s="81"/>
      <c r="K31" s="81"/>
      <c r="L31" s="81"/>
      <c r="M31" s="82"/>
    </row>
    <row r="32" spans="1:13">
      <c r="A32" s="3"/>
      <c r="B32" s="3"/>
      <c r="C32" s="3"/>
      <c r="D32" s="3"/>
      <c r="E32" s="3"/>
      <c r="F32" s="3"/>
      <c r="G32" s="3"/>
      <c r="H32" s="3"/>
      <c r="I32" s="81"/>
      <c r="J32" s="81"/>
      <c r="K32" s="81"/>
      <c r="L32" s="81"/>
      <c r="M32" s="82"/>
    </row>
    <row r="33" spans="1:13">
      <c r="A33" s="3"/>
      <c r="B33" s="5" t="s">
        <v>100</v>
      </c>
      <c r="C33" s="3"/>
      <c r="D33" s="3"/>
      <c r="E33" s="3"/>
      <c r="F33" s="26"/>
      <c r="G33" s="26"/>
      <c r="H33" s="26" t="s">
        <v>88</v>
      </c>
      <c r="I33" s="81"/>
      <c r="J33" s="81"/>
      <c r="K33" s="81"/>
      <c r="L33" s="81"/>
      <c r="M33" s="82"/>
    </row>
    <row r="34" spans="1:13" ht="21">
      <c r="A34" s="3"/>
      <c r="B34" s="40" t="s">
        <v>19</v>
      </c>
      <c r="C34" s="16"/>
      <c r="D34" s="41"/>
      <c r="E34" s="41"/>
      <c r="F34" s="42"/>
      <c r="G34" s="42"/>
      <c r="H34" s="43">
        <f>'CUSTO MERCADORIA - IMP. PRÓPRIA'!E13</f>
        <v>0</v>
      </c>
      <c r="I34" s="81"/>
      <c r="J34" s="81"/>
      <c r="K34" s="81"/>
      <c r="L34" s="81"/>
      <c r="M34" s="82"/>
    </row>
    <row r="35" spans="1:13" ht="21">
      <c r="A35" s="3"/>
      <c r="B35" s="44" t="s">
        <v>20</v>
      </c>
      <c r="C35" s="45"/>
      <c r="D35" s="46"/>
      <c r="E35" s="46"/>
      <c r="F35" s="15"/>
      <c r="G35" s="15"/>
      <c r="H35" s="32">
        <f>'CUSTO MERCADORIA - IMP. PRÓPRIA'!E14</f>
        <v>0</v>
      </c>
      <c r="I35" s="81"/>
      <c r="J35" s="81"/>
      <c r="K35" s="81"/>
      <c r="L35" s="81"/>
      <c r="M35" s="82"/>
    </row>
    <row r="36" spans="1:13" ht="21">
      <c r="A36" s="3"/>
      <c r="B36" s="44" t="s">
        <v>21</v>
      </c>
      <c r="C36" s="45"/>
      <c r="D36" s="46"/>
      <c r="E36" s="46"/>
      <c r="F36" s="15"/>
      <c r="G36" s="15"/>
      <c r="H36" s="32">
        <f>'CUSTO MERCADORIA - IMP. PRÓPRIA'!E15</f>
        <v>0</v>
      </c>
      <c r="I36" s="81"/>
      <c r="J36" s="81"/>
      <c r="K36" s="81"/>
      <c r="L36" s="81"/>
      <c r="M36" s="82"/>
    </row>
    <row r="37" spans="1:13" ht="21">
      <c r="A37" s="3"/>
      <c r="B37" s="44" t="s">
        <v>101</v>
      </c>
      <c r="C37" s="45"/>
      <c r="D37" s="46"/>
      <c r="E37" s="46"/>
      <c r="F37" s="15"/>
      <c r="G37" s="15"/>
      <c r="H37" s="32">
        <f>'CUSTO MERCADORIA - IMP. PRÓPRIA'!E17</f>
        <v>1000</v>
      </c>
      <c r="I37" s="81"/>
      <c r="J37" s="81"/>
      <c r="K37" s="81"/>
      <c r="L37" s="81"/>
      <c r="M37" s="82"/>
    </row>
    <row r="38" spans="1:13" ht="21">
      <c r="A38" s="3"/>
      <c r="B38" s="44" t="s">
        <v>102</v>
      </c>
      <c r="C38" s="45"/>
      <c r="D38" s="46"/>
      <c r="E38" s="46"/>
      <c r="F38" s="15"/>
      <c r="G38" s="15"/>
      <c r="H38" s="38">
        <f>'CUSTO MERCADORIA - IMP. PRÓPRIA'!E16</f>
        <v>3000</v>
      </c>
      <c r="I38" s="81"/>
      <c r="J38" s="81"/>
      <c r="K38" s="81"/>
      <c r="L38" s="81"/>
      <c r="M38" s="82"/>
    </row>
    <row r="39" spans="1:13" ht="21">
      <c r="A39" s="3"/>
      <c r="B39" s="44" t="s">
        <v>17</v>
      </c>
      <c r="C39" s="45"/>
      <c r="D39" s="46"/>
      <c r="E39" s="46"/>
      <c r="F39" s="15"/>
      <c r="G39" s="15"/>
      <c r="H39" s="32">
        <f>'CUSTO MERCADORIA - IMP. PRÓPRIA'!H9</f>
        <v>0</v>
      </c>
      <c r="I39" s="81"/>
      <c r="J39" s="81"/>
      <c r="K39" s="81"/>
      <c r="L39" s="81"/>
      <c r="M39" s="82"/>
    </row>
    <row r="40" spans="1:13" ht="21">
      <c r="A40" s="3"/>
      <c r="B40" s="47" t="s">
        <v>103</v>
      </c>
      <c r="C40" s="48"/>
      <c r="D40" s="49"/>
      <c r="E40" s="49"/>
      <c r="F40" s="50"/>
      <c r="G40" s="50"/>
      <c r="H40" s="35">
        <f>SUM(H34:H39)</f>
        <v>4000</v>
      </c>
      <c r="I40" s="81"/>
      <c r="J40" s="81"/>
      <c r="K40" s="81"/>
      <c r="L40" s="81"/>
      <c r="M40" s="82"/>
    </row>
    <row r="41" spans="1:13">
      <c r="A41" s="3"/>
      <c r="B41" s="3"/>
      <c r="C41" s="3"/>
      <c r="D41" s="3"/>
      <c r="E41" s="3"/>
      <c r="F41" s="3"/>
      <c r="G41" s="3"/>
      <c r="H41" s="3"/>
      <c r="I41" s="81"/>
      <c r="J41" s="81"/>
      <c r="K41" s="81"/>
      <c r="L41" s="81"/>
      <c r="M41" s="82"/>
    </row>
    <row r="42" spans="1:13">
      <c r="A42" s="3"/>
      <c r="B42" s="50" t="s">
        <v>104</v>
      </c>
      <c r="C42" s="3"/>
      <c r="D42" s="3"/>
      <c r="E42" s="3"/>
      <c r="F42" s="26"/>
      <c r="G42" s="3"/>
      <c r="H42" s="26" t="s">
        <v>88</v>
      </c>
      <c r="I42" s="81"/>
      <c r="J42" s="81"/>
      <c r="K42" s="81"/>
      <c r="L42" s="81"/>
      <c r="M42" s="82"/>
    </row>
    <row r="43" spans="1:13" ht="21">
      <c r="A43" s="3"/>
      <c r="B43" s="44" t="s">
        <v>105</v>
      </c>
      <c r="C43" s="51"/>
      <c r="D43" s="52"/>
      <c r="E43" s="52"/>
      <c r="F43" s="52"/>
      <c r="G43" s="52"/>
      <c r="H43" s="43">
        <f>H22</f>
        <v>76083.772000000012</v>
      </c>
      <c r="I43" s="81"/>
      <c r="J43" s="81"/>
      <c r="K43" s="81"/>
      <c r="L43" s="81"/>
      <c r="M43" s="82"/>
    </row>
    <row r="44" spans="1:13" ht="21">
      <c r="A44" s="3"/>
      <c r="B44" s="44" t="s">
        <v>93</v>
      </c>
      <c r="C44" s="53"/>
      <c r="D44" s="3"/>
      <c r="E44" s="3"/>
      <c r="F44" s="3"/>
      <c r="G44" s="3"/>
      <c r="H44" s="32">
        <f>H25</f>
        <v>19020.943000000003</v>
      </c>
      <c r="I44" s="81"/>
      <c r="J44" s="81"/>
      <c r="K44" s="81"/>
      <c r="L44" s="81"/>
      <c r="M44" s="82"/>
    </row>
    <row r="45" spans="1:13" ht="21">
      <c r="A45" s="3"/>
      <c r="B45" s="44" t="s">
        <v>94</v>
      </c>
      <c r="C45" s="53"/>
      <c r="D45" s="3"/>
      <c r="E45" s="3"/>
      <c r="F45" s="3"/>
      <c r="G45" s="3"/>
      <c r="H45" s="32">
        <f>H26</f>
        <v>6181.8064749999994</v>
      </c>
      <c r="I45" s="81"/>
      <c r="J45" s="81"/>
      <c r="K45" s="81"/>
      <c r="L45" s="81"/>
      <c r="M45" s="82"/>
    </row>
    <row r="46" spans="1:13" ht="21">
      <c r="A46" s="3"/>
      <c r="B46" s="44" t="s">
        <v>106</v>
      </c>
      <c r="C46" s="53" t="s">
        <v>107</v>
      </c>
      <c r="D46" s="3"/>
      <c r="E46" s="3"/>
      <c r="F46" s="3"/>
      <c r="G46" s="3"/>
      <c r="H46" s="32">
        <f>H27+H28+H30+H39+H29</f>
        <v>10243.871071302086</v>
      </c>
      <c r="I46" s="81"/>
      <c r="J46" s="81"/>
      <c r="K46" s="81"/>
      <c r="L46" s="81"/>
      <c r="M46" s="82"/>
    </row>
    <row r="47" spans="1:13" ht="21">
      <c r="A47" s="3"/>
      <c r="B47" s="54" t="s">
        <v>108</v>
      </c>
      <c r="C47" s="55"/>
      <c r="D47" s="56"/>
      <c r="E47" s="56"/>
      <c r="F47" s="56"/>
      <c r="G47" s="56"/>
      <c r="H47" s="35">
        <f>SUM(H43:H46)</f>
        <v>111530.3925463021</v>
      </c>
      <c r="I47" s="83"/>
      <c r="J47" s="81"/>
      <c r="K47" s="81"/>
      <c r="L47" s="81"/>
      <c r="M47" s="82"/>
    </row>
    <row r="48" spans="1:13">
      <c r="A48" s="3"/>
      <c r="B48" s="57"/>
      <c r="C48" s="57"/>
      <c r="D48" s="57"/>
      <c r="E48" s="57"/>
      <c r="F48" s="57"/>
      <c r="G48" s="57"/>
      <c r="H48" s="58"/>
      <c r="I48" s="81"/>
      <c r="J48" s="81"/>
      <c r="K48" s="81"/>
      <c r="L48" s="81"/>
      <c r="M48" s="82"/>
    </row>
    <row r="49" spans="1:15">
      <c r="A49" s="3"/>
      <c r="B49" s="59" t="s">
        <v>109</v>
      </c>
      <c r="C49" s="57"/>
      <c r="D49" s="57"/>
      <c r="E49" s="57"/>
      <c r="F49" s="57"/>
      <c r="G49" s="57"/>
      <c r="H49" s="60" t="s">
        <v>88</v>
      </c>
      <c r="I49" s="81"/>
      <c r="J49" s="81"/>
      <c r="K49" s="81"/>
      <c r="L49" s="81"/>
      <c r="M49" s="82"/>
    </row>
    <row r="50" spans="1:15" ht="21">
      <c r="A50" s="3"/>
      <c r="B50" s="44" t="s">
        <v>25</v>
      </c>
      <c r="C50" s="51"/>
      <c r="D50" s="52"/>
      <c r="E50" s="52"/>
      <c r="F50" s="52"/>
      <c r="G50" s="52"/>
      <c r="H50" s="43">
        <f>'CUSTO MERCADORIA - IMP. PRÓPRIA'!E22</f>
        <v>0</v>
      </c>
      <c r="I50" s="84"/>
      <c r="J50" s="81"/>
      <c r="K50" s="81"/>
      <c r="L50" s="81"/>
      <c r="M50" s="82"/>
    </row>
    <row r="51" spans="1:15" ht="21">
      <c r="A51" s="3"/>
      <c r="B51" s="44" t="s">
        <v>26</v>
      </c>
      <c r="C51" s="53"/>
      <c r="D51" s="3"/>
      <c r="E51" s="3"/>
      <c r="F51" s="3"/>
      <c r="G51" s="3"/>
      <c r="H51" s="32">
        <f>'CUSTO MERCADORIA - IMP. PRÓPRIA'!E23</f>
        <v>0</v>
      </c>
      <c r="I51" s="84"/>
      <c r="J51" s="81"/>
      <c r="K51" s="81"/>
      <c r="L51" s="81"/>
      <c r="M51" s="82"/>
    </row>
    <row r="52" spans="1:15" ht="21">
      <c r="A52" s="3"/>
      <c r="B52" s="54" t="s">
        <v>110</v>
      </c>
      <c r="C52" s="55"/>
      <c r="D52" s="56"/>
      <c r="E52" s="56"/>
      <c r="F52" s="56"/>
      <c r="G52" s="56"/>
      <c r="H52" s="35">
        <f>SUM(H50:H51)</f>
        <v>0</v>
      </c>
      <c r="I52" s="84"/>
      <c r="J52" s="81"/>
      <c r="K52" s="81"/>
      <c r="L52" s="81"/>
      <c r="M52" s="82"/>
    </row>
    <row r="53" spans="1:15">
      <c r="A53" s="3"/>
      <c r="B53" s="61"/>
      <c r="C53" s="57"/>
      <c r="D53" s="57"/>
      <c r="E53" s="57"/>
      <c r="F53" s="57"/>
      <c r="G53" s="57"/>
      <c r="H53" s="62"/>
      <c r="I53" s="84"/>
      <c r="J53" s="81"/>
      <c r="K53" s="81"/>
      <c r="L53" s="81"/>
      <c r="M53" s="82"/>
    </row>
    <row r="54" spans="1:15">
      <c r="A54" s="3"/>
      <c r="B54" s="61" t="s">
        <v>111</v>
      </c>
      <c r="C54" s="57"/>
      <c r="D54" s="57"/>
      <c r="E54" s="57"/>
      <c r="F54" s="57"/>
      <c r="G54" s="57"/>
      <c r="H54" s="60" t="s">
        <v>88</v>
      </c>
      <c r="I54" s="81"/>
      <c r="M54" s="82"/>
    </row>
    <row r="55" spans="1:15" ht="21">
      <c r="A55" s="3"/>
      <c r="B55" s="63" t="s">
        <v>95</v>
      </c>
      <c r="C55" s="64"/>
      <c r="D55" s="65"/>
      <c r="E55" s="65"/>
      <c r="F55" s="65"/>
      <c r="G55" s="65"/>
      <c r="H55" s="66">
        <f>H27</f>
        <v>1597.7592120000004</v>
      </c>
      <c r="I55" s="81"/>
      <c r="M55" s="82"/>
    </row>
    <row r="56" spans="1:15" ht="21">
      <c r="A56" s="3"/>
      <c r="B56" s="44" t="s">
        <v>96</v>
      </c>
      <c r="C56" s="67"/>
      <c r="D56" s="68"/>
      <c r="E56" s="68"/>
      <c r="F56" s="68"/>
      <c r="G56" s="68"/>
      <c r="H56" s="69">
        <f>'CUSTO MERCADORIA - IMP. PRÓPRIA'!AK38</f>
        <v>7342.0839980000019</v>
      </c>
      <c r="I56" s="81"/>
      <c r="M56" s="82"/>
    </row>
    <row r="57" spans="1:15" ht="21">
      <c r="A57" s="3"/>
      <c r="B57" s="44" t="s">
        <v>94</v>
      </c>
      <c r="C57" s="45"/>
      <c r="D57" s="14"/>
      <c r="E57" s="14"/>
      <c r="F57" s="14"/>
      <c r="G57" s="14"/>
      <c r="H57" s="32">
        <f>H26</f>
        <v>6181.8064749999994</v>
      </c>
      <c r="I57" s="81"/>
      <c r="M57" s="82"/>
    </row>
    <row r="58" spans="1:15" ht="21">
      <c r="A58" s="3"/>
      <c r="B58" s="44" t="s">
        <v>97</v>
      </c>
      <c r="C58" s="45"/>
      <c r="D58" s="14"/>
      <c r="E58" s="14"/>
      <c r="F58" s="14"/>
      <c r="G58" s="14"/>
      <c r="H58" s="32">
        <f>H29</f>
        <v>1149.7978613020837</v>
      </c>
      <c r="I58" s="81"/>
      <c r="M58" s="82"/>
    </row>
    <row r="59" spans="1:15" ht="21">
      <c r="A59" s="3"/>
      <c r="B59" s="44" t="s">
        <v>112</v>
      </c>
      <c r="C59" s="70"/>
      <c r="D59" s="5"/>
      <c r="E59" s="5"/>
      <c r="F59" s="5"/>
      <c r="G59" s="5"/>
      <c r="H59" s="32">
        <f>SUM(H55:H58)</f>
        <v>16271.447546302086</v>
      </c>
      <c r="I59" s="81"/>
      <c r="J59" s="81"/>
      <c r="K59" s="81"/>
      <c r="L59" s="81"/>
      <c r="M59" s="82"/>
    </row>
    <row r="60" spans="1:15" ht="21">
      <c r="A60" s="3"/>
      <c r="B60" s="54" t="s">
        <v>113</v>
      </c>
      <c r="C60" s="71"/>
      <c r="D60" s="50"/>
      <c r="E60" s="50"/>
      <c r="F60" s="50"/>
      <c r="G60" s="50"/>
      <c r="H60" s="35">
        <f>H47+H52+H40-H39-H59</f>
        <v>99258.945000000007</v>
      </c>
      <c r="I60" s="83"/>
      <c r="J60" s="81"/>
      <c r="K60" s="81"/>
      <c r="L60" s="81"/>
    </row>
    <row r="61" spans="1:15">
      <c r="A61" s="3"/>
      <c r="B61" s="5"/>
      <c r="C61" s="3"/>
      <c r="D61" s="3"/>
      <c r="E61" s="72"/>
      <c r="F61" s="3"/>
      <c r="G61" s="3"/>
      <c r="H61" s="73"/>
    </row>
    <row r="62" spans="1:15" ht="21">
      <c r="A62" s="3"/>
      <c r="B62" s="295" t="s">
        <v>114</v>
      </c>
      <c r="C62" s="296"/>
      <c r="D62" s="296"/>
      <c r="E62" s="296"/>
      <c r="F62" s="296"/>
      <c r="G62" s="296"/>
      <c r="H62" s="296"/>
      <c r="I62" s="297" t="s">
        <v>115</v>
      </c>
      <c r="J62" s="297"/>
      <c r="K62" s="297"/>
      <c r="N62" s="297" t="s">
        <v>116</v>
      </c>
      <c r="O62" s="297"/>
    </row>
    <row r="63" spans="1:15">
      <c r="A63" s="74"/>
      <c r="B63" s="289" t="s">
        <v>69</v>
      </c>
      <c r="C63" s="290"/>
      <c r="D63" s="290"/>
      <c r="E63" s="72"/>
      <c r="F63" s="75">
        <v>0.04</v>
      </c>
      <c r="G63" s="76"/>
      <c r="H63" s="77">
        <f>H69*F63</f>
        <v>6091.9124677438103</v>
      </c>
      <c r="I63" s="85" t="s">
        <v>117</v>
      </c>
      <c r="J63" s="86">
        <v>0.05</v>
      </c>
      <c r="K63" s="87">
        <f>H69*J63</f>
        <v>7614.8905846797634</v>
      </c>
      <c r="N63" s="88" t="s">
        <v>118</v>
      </c>
      <c r="O63" s="89">
        <f>K63</f>
        <v>7614.8905846797634</v>
      </c>
    </row>
    <row r="64" spans="1:15">
      <c r="A64" s="74"/>
      <c r="B64" s="45" t="s">
        <v>143</v>
      </c>
      <c r="C64" s="14"/>
      <c r="D64" s="14"/>
      <c r="E64" s="72"/>
      <c r="F64" s="75">
        <v>0.14000000000000001</v>
      </c>
      <c r="G64" s="76"/>
      <c r="H64" s="265">
        <f>H69*F64</f>
        <v>21321.693637103337</v>
      </c>
      <c r="I64" s="85" t="s">
        <v>120</v>
      </c>
      <c r="J64" s="86">
        <v>0.25</v>
      </c>
      <c r="K64" s="87">
        <f>H67*J64</f>
        <v>2884.4282517726374</v>
      </c>
      <c r="N64" s="88" t="s">
        <v>121</v>
      </c>
      <c r="O64" s="89">
        <f>H69*2.6%</f>
        <v>3959.7431040334768</v>
      </c>
    </row>
    <row r="65" spans="1:16" ht="21">
      <c r="A65" s="74"/>
      <c r="B65" s="45" t="s">
        <v>119</v>
      </c>
      <c r="C65" s="78"/>
      <c r="D65" s="79"/>
      <c r="E65" s="72"/>
      <c r="F65" s="75">
        <v>1.6500000000000001E-2</v>
      </c>
      <c r="G65" s="76"/>
      <c r="H65" s="80">
        <f>H69*F65</f>
        <v>2512.913892944322</v>
      </c>
      <c r="I65" s="85" t="s">
        <v>123</v>
      </c>
      <c r="J65" s="86">
        <v>0.09</v>
      </c>
      <c r="K65" s="87">
        <f>H67*J65</f>
        <v>1038.3941706381495</v>
      </c>
      <c r="O65" s="90">
        <f>SUM(O63:O64)</f>
        <v>11574.63368871324</v>
      </c>
      <c r="P65" s="270"/>
    </row>
    <row r="66" spans="1:16" ht="21">
      <c r="A66" s="74"/>
      <c r="B66" s="45" t="s">
        <v>122</v>
      </c>
      <c r="C66" s="78"/>
      <c r="D66" s="79"/>
      <c r="E66" s="72"/>
      <c r="F66" s="75">
        <v>7.5999999999999998E-2</v>
      </c>
      <c r="G66" s="76"/>
      <c r="H66" s="80">
        <f>H69*F66</f>
        <v>11574.633688713238</v>
      </c>
      <c r="I66" s="266"/>
      <c r="J66" s="125"/>
      <c r="K66" s="126">
        <f>SUM(K63:K65)</f>
        <v>11537.713007090551</v>
      </c>
    </row>
    <row r="67" spans="1:16">
      <c r="A67" s="74"/>
      <c r="B67" s="91" t="s">
        <v>118</v>
      </c>
      <c r="C67" s="92"/>
      <c r="D67" s="93"/>
      <c r="E67" s="94"/>
      <c r="F67" s="95">
        <f>J63/(1-(J64+J65))</f>
        <v>7.575757575757576E-2</v>
      </c>
      <c r="G67" s="96"/>
      <c r="H67" s="97">
        <f>H69*F67</f>
        <v>11537.71300709055</v>
      </c>
    </row>
    <row r="68" spans="1:16" s="1" customFormat="1" ht="21">
      <c r="A68" s="98"/>
      <c r="B68" s="99" t="s">
        <v>124</v>
      </c>
      <c r="C68" s="100"/>
      <c r="D68" s="101"/>
      <c r="E68" s="102"/>
      <c r="F68" s="103"/>
      <c r="G68" s="104"/>
      <c r="H68" s="105">
        <f>1-(SUM(F63:F67))</f>
        <v>0.65174242424242423</v>
      </c>
      <c r="I68" s="125"/>
      <c r="J68" s="127"/>
      <c r="K68" s="127"/>
    </row>
    <row r="69" spans="1:16" s="1" customFormat="1" ht="21">
      <c r="A69" s="98"/>
      <c r="B69" s="106" t="s">
        <v>68</v>
      </c>
      <c r="C69" s="107"/>
      <c r="D69" s="107"/>
      <c r="E69" s="108"/>
      <c r="F69" s="109"/>
      <c r="G69" s="109"/>
      <c r="H69" s="110">
        <f>H60/H68</f>
        <v>152297.81169359526</v>
      </c>
      <c r="I69" s="128"/>
      <c r="J69" s="129"/>
      <c r="K69" s="129"/>
      <c r="L69" s="129"/>
    </row>
    <row r="70" spans="1:16" s="1" customFormat="1" ht="21">
      <c r="A70" s="98"/>
      <c r="B70" s="14" t="s">
        <v>70</v>
      </c>
      <c r="C70" s="79"/>
      <c r="D70" s="79"/>
      <c r="E70" s="72"/>
      <c r="F70" s="75"/>
      <c r="G70" s="3"/>
      <c r="H70" s="111">
        <f>'CUSTO MERCADORIA - IMP. PRÓPRIA'!AY38</f>
        <v>9899.3577600836961</v>
      </c>
      <c r="I70" s="128"/>
      <c r="J70" s="129"/>
      <c r="K70" s="129"/>
      <c r="L70" s="129"/>
    </row>
    <row r="71" spans="1:16" s="1" customFormat="1" ht="21">
      <c r="A71" s="98"/>
      <c r="B71" s="14" t="s">
        <v>71</v>
      </c>
      <c r="C71" s="79"/>
      <c r="D71" s="78"/>
      <c r="E71" s="72"/>
      <c r="F71" s="75"/>
      <c r="G71" s="3"/>
      <c r="H71" s="111">
        <f>'CUSTO MERCADORIA - IMP. PRÓPRIA'!AZ38</f>
        <v>0</v>
      </c>
      <c r="I71" s="128"/>
      <c r="J71" s="129"/>
      <c r="K71" s="129"/>
      <c r="L71" s="129"/>
    </row>
    <row r="72" spans="1:16" s="1" customFormat="1" ht="21">
      <c r="A72" s="98"/>
      <c r="B72" s="112" t="s">
        <v>125</v>
      </c>
      <c r="C72" s="113"/>
      <c r="D72" s="113"/>
      <c r="E72" s="114"/>
      <c r="F72" s="113"/>
      <c r="G72" s="113"/>
      <c r="H72" s="115">
        <f>SUM(H69:H71)</f>
        <v>162197.16945367894</v>
      </c>
      <c r="I72" s="128"/>
      <c r="J72" s="129"/>
      <c r="K72" s="129"/>
      <c r="L72" s="129"/>
    </row>
    <row r="73" spans="1:16" ht="21">
      <c r="A73" s="3"/>
      <c r="B73" s="7"/>
      <c r="C73" s="116"/>
      <c r="D73" s="116"/>
      <c r="E73" s="117"/>
      <c r="F73" s="116"/>
      <c r="G73" s="116"/>
      <c r="H73" s="118"/>
      <c r="I73" s="128"/>
      <c r="J73" s="130"/>
      <c r="K73" s="130"/>
      <c r="L73" s="130"/>
      <c r="M73" s="1"/>
      <c r="N73" s="90"/>
      <c r="O73" s="82"/>
    </row>
    <row r="74" spans="1:16" ht="21">
      <c r="A74" s="3"/>
      <c r="B74" s="1"/>
      <c r="C74" s="116"/>
      <c r="D74" s="116"/>
      <c r="E74" s="117"/>
      <c r="F74" s="116"/>
      <c r="G74" s="116"/>
      <c r="H74" s="118"/>
      <c r="I74" s="128"/>
      <c r="J74" s="130"/>
      <c r="K74" s="130"/>
      <c r="L74" s="130"/>
      <c r="M74" s="1"/>
      <c r="N74" s="90"/>
      <c r="O74" s="82"/>
    </row>
    <row r="75" spans="1:16" ht="21">
      <c r="A75" s="81"/>
      <c r="B75" s="286" t="s">
        <v>126</v>
      </c>
      <c r="C75" s="286"/>
      <c r="D75" s="286"/>
      <c r="E75" s="286"/>
      <c r="F75" s="286"/>
      <c r="G75" s="286"/>
      <c r="H75" s="286"/>
      <c r="I75" s="286"/>
      <c r="J75" s="286"/>
      <c r="K75" s="286"/>
      <c r="L75" s="286"/>
    </row>
    <row r="76" spans="1:16" s="1" customFormat="1" ht="21">
      <c r="A76" s="119"/>
      <c r="B76" s="120" t="s">
        <v>127</v>
      </c>
      <c r="C76" s="120" t="s">
        <v>4</v>
      </c>
      <c r="D76" s="120" t="s">
        <v>128</v>
      </c>
      <c r="E76" s="120" t="s">
        <v>129</v>
      </c>
      <c r="F76" s="120" t="s">
        <v>130</v>
      </c>
      <c r="G76" s="120" t="s">
        <v>131</v>
      </c>
      <c r="H76" s="120" t="s">
        <v>132</v>
      </c>
      <c r="I76" s="120" t="s">
        <v>133</v>
      </c>
      <c r="J76" s="120" t="s">
        <v>134</v>
      </c>
      <c r="K76" s="131" t="s">
        <v>145</v>
      </c>
      <c r="L76" s="131" t="s">
        <v>146</v>
      </c>
    </row>
    <row r="77" spans="1:16">
      <c r="A77" s="3"/>
      <c r="B77" s="121" t="str">
        <f>'CUSTO MERCADORIA - IMP. PRÓPRIA'!D27</f>
        <v>1 x 18</v>
      </c>
      <c r="C77" s="122" t="str">
        <f>'CUSTO MERCADORIA - IMP. PRÓPRIA'!G27</f>
        <v>Clavo con cabeza 10 x 10</v>
      </c>
      <c r="D77" s="122" t="str">
        <f>'CUSTO MERCADORIA - IMP. PRÓPRIA'!F27</f>
        <v>TON</v>
      </c>
      <c r="E77" s="263">
        <f>'CUSTO MERCADORIA - IMP. PRÓPRIA'!E27</f>
        <v>1</v>
      </c>
      <c r="F77" s="123">
        <f>'CUSTO MERCADORIA - IMP. PRÓPRIA'!AV27</f>
        <v>15450.463094269444</v>
      </c>
      <c r="G77" s="123">
        <f>F77/E77</f>
        <v>15450.463094269444</v>
      </c>
      <c r="H77" s="124">
        <f>'CUSTO MERCADORIA - IMP. PRÓPRIA'!AY27</f>
        <v>1004.2801011275139</v>
      </c>
      <c r="I77" s="124">
        <f>'CUSTO MERCADORIA - IMP. PRÓPRIA'!AZ27</f>
        <v>0</v>
      </c>
      <c r="J77" s="124">
        <f>F77+H77+I77</f>
        <v>16454.743195396957</v>
      </c>
      <c r="K77" s="124">
        <f>J77/E77</f>
        <v>16454.743195396957</v>
      </c>
      <c r="L77" s="124">
        <f>K77/1000</f>
        <v>16.454743195396958</v>
      </c>
    </row>
    <row r="78" spans="1:16">
      <c r="A78" s="3"/>
      <c r="B78" s="121" t="str">
        <f>'CUSTO MERCADORIA - IMP. PRÓPRIA'!D28</f>
        <v>1 1/4 x 13</v>
      </c>
      <c r="C78" s="122" t="str">
        <f>'CUSTO MERCADORIA - IMP. PRÓPRIA'!G28</f>
        <v>Clavo con cabeza 15 x 15</v>
      </c>
      <c r="D78" s="122" t="str">
        <f>'CUSTO MERCADORIA - IMP. PRÓPRIA'!F28</f>
        <v>TON</v>
      </c>
      <c r="E78" s="263">
        <f>'CUSTO MERCADORIA - IMP. PRÓPRIA'!E28</f>
        <v>1</v>
      </c>
      <c r="F78" s="123">
        <f>'CUSTO MERCADORIA - IMP. PRÓPRIA'!AV28</f>
        <v>14189.228641171687</v>
      </c>
      <c r="G78" s="123">
        <f t="shared" ref="G78:G87" si="0">F78/E78</f>
        <v>14189.228641171687</v>
      </c>
      <c r="H78" s="124">
        <f>'CUSTO MERCADORIA - IMP. PRÓPRIA'!AY28</f>
        <v>922.29986167615971</v>
      </c>
      <c r="I78" s="124">
        <f>'CUSTO MERCADORIA - IMP. PRÓPRIA'!AZ28</f>
        <v>0</v>
      </c>
      <c r="J78" s="124">
        <f t="shared" ref="J78:J87" si="1">F78+H78+I78</f>
        <v>15111.528502847847</v>
      </c>
      <c r="K78" s="124">
        <f t="shared" ref="K78:K87" si="2">J78/E78</f>
        <v>15111.528502847847</v>
      </c>
      <c r="L78" s="124">
        <f t="shared" ref="L78:L87" si="3">K78/1000</f>
        <v>15.111528502847847</v>
      </c>
    </row>
    <row r="79" spans="1:16">
      <c r="A79" s="3"/>
      <c r="B79" s="121" t="str">
        <f>'CUSTO MERCADORIA - IMP. PRÓPRIA'!D29</f>
        <v>1 1/4 x15</v>
      </c>
      <c r="C79" s="122" t="str">
        <f>'CUSTO MERCADORIA - IMP. PRÓPRIA'!G29</f>
        <v>Clavo con cabeza 13 x 15</v>
      </c>
      <c r="D79" s="122" t="str">
        <f>'CUSTO MERCADORIA - IMP. PRÓPRIA'!F29</f>
        <v>TON</v>
      </c>
      <c r="E79" s="263">
        <f>'CUSTO MERCADORIA - IMP. PRÓPRIA'!E29</f>
        <v>1</v>
      </c>
      <c r="F79" s="123">
        <f>'CUSTO MERCADORIA - IMP. PRÓPRIA'!AV29</f>
        <v>14819.845867720565</v>
      </c>
      <c r="G79" s="123">
        <f t="shared" si="0"/>
        <v>14819.845867720565</v>
      </c>
      <c r="H79" s="124">
        <f>'CUSTO MERCADORIA - IMP. PRÓPRIA'!AY29</f>
        <v>963.28998140183683</v>
      </c>
      <c r="I79" s="124">
        <f>'CUSTO MERCADORIA - IMP. PRÓPRIA'!AZ29</f>
        <v>0</v>
      </c>
      <c r="J79" s="124">
        <f t="shared" si="1"/>
        <v>15783.135849122402</v>
      </c>
      <c r="K79" s="124">
        <f t="shared" si="2"/>
        <v>15783.135849122402</v>
      </c>
      <c r="L79" s="124">
        <f t="shared" si="3"/>
        <v>15.783135849122402</v>
      </c>
    </row>
    <row r="80" spans="1:16">
      <c r="A80" s="3"/>
      <c r="B80" s="121" t="str">
        <f>'CUSTO MERCADORIA - IMP. PRÓPRIA'!D30</f>
        <v>1 1/2 x 13</v>
      </c>
      <c r="C80" s="122" t="str">
        <f>'CUSTO MERCADORIA - IMP. PRÓPRIA'!G30</f>
        <v>Clavo con cabeza 15 x 18</v>
      </c>
      <c r="D80" s="122" t="str">
        <f>'CUSTO MERCADORIA - IMP. PRÓPRIA'!F30</f>
        <v>TON</v>
      </c>
      <c r="E80" s="263">
        <f>'CUSTO MERCADORIA - IMP. PRÓPRIA'!E30</f>
        <v>1</v>
      </c>
      <c r="F80" s="123">
        <f>'CUSTO MERCADORIA - IMP. PRÓPRIA'!AV30</f>
        <v>14189.228641171687</v>
      </c>
      <c r="G80" s="123">
        <f t="shared" si="0"/>
        <v>14189.228641171687</v>
      </c>
      <c r="H80" s="124">
        <f>'CUSTO MERCADORIA - IMP. PRÓPRIA'!AY30</f>
        <v>922.29986167615971</v>
      </c>
      <c r="I80" s="124">
        <f>'CUSTO MERCADORIA - IMP. PRÓPRIA'!AZ30</f>
        <v>0</v>
      </c>
      <c r="J80" s="124">
        <f t="shared" si="1"/>
        <v>15111.528502847847</v>
      </c>
      <c r="K80" s="124">
        <f t="shared" si="2"/>
        <v>15111.528502847847</v>
      </c>
      <c r="L80" s="124">
        <f t="shared" si="3"/>
        <v>15.111528502847847</v>
      </c>
    </row>
    <row r="81" spans="1:14">
      <c r="A81" s="3"/>
      <c r="B81" s="121" t="str">
        <f>'CUSTO MERCADORIA - IMP. PRÓPRIA'!D31</f>
        <v>2 x 11</v>
      </c>
      <c r="C81" s="122" t="str">
        <f>'CUSTO MERCADORIA - IMP. PRÓPRIA'!G31</f>
        <v>Clavo con cabeza 17 x 21</v>
      </c>
      <c r="D81" s="122" t="str">
        <f>'CUSTO MERCADORIA - IMP. PRÓPRIA'!F31</f>
        <v>TON</v>
      </c>
      <c r="E81" s="263">
        <f>'CUSTO MERCADORIA - IMP. PRÓPRIA'!E31</f>
        <v>1</v>
      </c>
      <c r="F81" s="123">
        <f>'CUSTO MERCADORIA - IMP. PRÓPRIA'!AV31</f>
        <v>13243.302801348371</v>
      </c>
      <c r="G81" s="123">
        <f t="shared" si="0"/>
        <v>13243.302801348371</v>
      </c>
      <c r="H81" s="124">
        <f>'CUSTO MERCADORIA - IMP. PRÓPRIA'!AY31</f>
        <v>860.81468208764409</v>
      </c>
      <c r="I81" s="124">
        <f>'CUSTO MERCADORIA - IMP. PRÓPRIA'!AZ31</f>
        <v>0</v>
      </c>
      <c r="J81" s="124">
        <f t="shared" si="1"/>
        <v>14104.117483436015</v>
      </c>
      <c r="K81" s="124">
        <f t="shared" si="2"/>
        <v>14104.117483436015</v>
      </c>
      <c r="L81" s="124">
        <f t="shared" si="3"/>
        <v>14.104117483436015</v>
      </c>
    </row>
    <row r="82" spans="1:14">
      <c r="A82" s="3"/>
      <c r="B82" s="121" t="str">
        <f>'CUSTO MERCADORIA - IMP. PRÓPRIA'!D32</f>
        <v>2 x 11 s/c</v>
      </c>
      <c r="C82" s="122" t="str">
        <f>'CUSTO MERCADORIA - IMP. PRÓPRIA'!G32</f>
        <v>Clavo sin cabeza 17 x 21</v>
      </c>
      <c r="D82" s="122" t="str">
        <f>'CUSTO MERCADORIA - IMP. PRÓPRIA'!F32</f>
        <v>TON</v>
      </c>
      <c r="E82" s="263">
        <f>'CUSTO MERCADORIA - IMP. PRÓPRIA'!E32</f>
        <v>1</v>
      </c>
      <c r="F82" s="123">
        <f>'CUSTO MERCADORIA - IMP. PRÓPRIA'!AV32</f>
        <v>13243.302801348371</v>
      </c>
      <c r="G82" s="123">
        <f t="shared" si="0"/>
        <v>13243.302801348371</v>
      </c>
      <c r="H82" s="124">
        <f>'CUSTO MERCADORIA - IMP. PRÓPRIA'!AY32</f>
        <v>860.81468208764409</v>
      </c>
      <c r="I82" s="124">
        <f>'CUSTO MERCADORIA - IMP. PRÓPRIA'!AZ32</f>
        <v>0</v>
      </c>
      <c r="J82" s="124">
        <f t="shared" si="1"/>
        <v>14104.117483436015</v>
      </c>
      <c r="K82" s="124">
        <f t="shared" si="2"/>
        <v>14104.117483436015</v>
      </c>
      <c r="L82" s="124">
        <f t="shared" si="3"/>
        <v>14.104117483436015</v>
      </c>
    </row>
    <row r="83" spans="1:14">
      <c r="A83" s="3"/>
      <c r="B83" s="121" t="str">
        <f>'CUSTO MERCADORIA - IMP. PRÓPRIA'!D33</f>
        <v>2 x 13</v>
      </c>
      <c r="C83" s="122" t="str">
        <f>'CUSTO MERCADORIA - IMP. PRÓPRIA'!G33</f>
        <v>Clavo con cabeza 15 x 21</v>
      </c>
      <c r="D83" s="122" t="str">
        <f>'CUSTO MERCADORIA - IMP. PRÓPRIA'!F33</f>
        <v>TON</v>
      </c>
      <c r="E83" s="263">
        <f>'CUSTO MERCADORIA - IMP. PRÓPRIA'!E33</f>
        <v>1</v>
      </c>
      <c r="F83" s="123">
        <f>'CUSTO MERCADORIA - IMP. PRÓPRIA'!AV33</f>
        <v>14189.228641171687</v>
      </c>
      <c r="G83" s="123">
        <f t="shared" si="0"/>
        <v>14189.228641171687</v>
      </c>
      <c r="H83" s="124">
        <f>'CUSTO MERCADORIA - IMP. PRÓPRIA'!AY33</f>
        <v>922.29986167615971</v>
      </c>
      <c r="I83" s="124">
        <f>'CUSTO MERCADORIA - IMP. PRÓPRIA'!AZ33</f>
        <v>0</v>
      </c>
      <c r="J83" s="124">
        <f t="shared" si="1"/>
        <v>15111.528502847847</v>
      </c>
      <c r="K83" s="124">
        <f t="shared" si="2"/>
        <v>15111.528502847847</v>
      </c>
      <c r="L83" s="124">
        <f t="shared" si="3"/>
        <v>15.111528502847847</v>
      </c>
    </row>
    <row r="84" spans="1:14">
      <c r="A84" s="3"/>
      <c r="B84" s="121" t="str">
        <f>'CUSTO MERCADORIA - IMP. PRÓPRIA'!D34</f>
        <v>2 1/2 x 11</v>
      </c>
      <c r="C84" s="122" t="str">
        <f>'CUSTO MERCADORIA - IMP. PRÓPRIA'!G34</f>
        <v>Clavo con cabeza 17 x 27</v>
      </c>
      <c r="D84" s="122" t="str">
        <f>'CUSTO MERCADORIA - IMP. PRÓPRIA'!F34</f>
        <v>TON</v>
      </c>
      <c r="E84" s="263">
        <f>'CUSTO MERCADORIA - IMP. PRÓPRIA'!E34</f>
        <v>1</v>
      </c>
      <c r="F84" s="123">
        <f>'CUSTO MERCADORIA - IMP. PRÓPRIA'!AV34</f>
        <v>13243.302801348371</v>
      </c>
      <c r="G84" s="123">
        <f t="shared" si="0"/>
        <v>13243.302801348371</v>
      </c>
      <c r="H84" s="124">
        <f>'CUSTO MERCADORIA - IMP. PRÓPRIA'!AY34</f>
        <v>860.81468208764409</v>
      </c>
      <c r="I84" s="124">
        <f>'CUSTO MERCADORIA - IMP. PRÓPRIA'!AZ34</f>
        <v>0</v>
      </c>
      <c r="J84" s="124">
        <f t="shared" si="1"/>
        <v>14104.117483436015</v>
      </c>
      <c r="K84" s="124">
        <f t="shared" si="2"/>
        <v>14104.117483436015</v>
      </c>
      <c r="L84" s="124">
        <f t="shared" si="3"/>
        <v>14.104117483436015</v>
      </c>
    </row>
    <row r="85" spans="1:14">
      <c r="A85" s="3"/>
      <c r="B85" s="121" t="str">
        <f>'CUSTO MERCADORIA - IMP. PRÓPRIA'!D35</f>
        <v>2 1/2 x 10</v>
      </c>
      <c r="C85" s="122" t="str">
        <f>'CUSTO MERCADORIA - IMP. PRÓPRIA'!G35</f>
        <v>Clavo con cabeza 18 x 27</v>
      </c>
      <c r="D85" s="122" t="str">
        <f>'CUSTO MERCADORIA - IMP. PRÓPRIA'!F35</f>
        <v>TON</v>
      </c>
      <c r="E85" s="263">
        <f>'CUSTO MERCADORIA - IMP. PRÓPRIA'!E35</f>
        <v>1</v>
      </c>
      <c r="F85" s="123">
        <f>'CUSTO MERCADORIA - IMP. PRÓPRIA'!AV35</f>
        <v>13243.302801348371</v>
      </c>
      <c r="G85" s="123">
        <f t="shared" si="0"/>
        <v>13243.302801348371</v>
      </c>
      <c r="H85" s="124">
        <f>'CUSTO MERCADORIA - IMP. PRÓPRIA'!AY35</f>
        <v>860.81468208764409</v>
      </c>
      <c r="I85" s="124">
        <f>'CUSTO MERCADORIA - IMP. PRÓPRIA'!AZ35</f>
        <v>0</v>
      </c>
      <c r="J85" s="124">
        <f t="shared" si="1"/>
        <v>14104.117483436015</v>
      </c>
      <c r="K85" s="124">
        <f t="shared" si="2"/>
        <v>14104.117483436015</v>
      </c>
      <c r="L85" s="124">
        <f t="shared" si="3"/>
        <v>14.104117483436015</v>
      </c>
    </row>
    <row r="86" spans="1:14">
      <c r="A86" s="3"/>
      <c r="B86" s="121" t="str">
        <f>'CUSTO MERCADORIA - IMP. PRÓPRIA'!D36</f>
        <v>3 1/4 x 10</v>
      </c>
      <c r="C86" s="122" t="str">
        <f>'CUSTO MERCADORIA - IMP. PRÓPRIA'!G36</f>
        <v>Clavo con cabeza 18 x 36</v>
      </c>
      <c r="D86" s="122" t="str">
        <f>'CUSTO MERCADORIA - IMP. PRÓPRIA'!F36</f>
        <v>TON</v>
      </c>
      <c r="E86" s="263">
        <f>'CUSTO MERCADORIA - IMP. PRÓPRIA'!E36</f>
        <v>1</v>
      </c>
      <c r="F86" s="123">
        <f>'CUSTO MERCADORIA - IMP. PRÓPRIA'!AV36</f>
        <v>13243.302801348371</v>
      </c>
      <c r="G86" s="123">
        <f t="shared" si="0"/>
        <v>13243.302801348371</v>
      </c>
      <c r="H86" s="124">
        <f>'CUSTO MERCADORIA - IMP. PRÓPRIA'!AY36</f>
        <v>860.81468208764409</v>
      </c>
      <c r="I86" s="124">
        <f>'CUSTO MERCADORIA - IMP. PRÓPRIA'!AZ36</f>
        <v>0</v>
      </c>
      <c r="J86" s="124">
        <f t="shared" si="1"/>
        <v>14104.117483436015</v>
      </c>
      <c r="K86" s="124">
        <f t="shared" si="2"/>
        <v>14104.117483436015</v>
      </c>
      <c r="L86" s="124">
        <f t="shared" si="3"/>
        <v>14.104117483436015</v>
      </c>
    </row>
    <row r="87" spans="1:14">
      <c r="A87" s="3"/>
      <c r="B87" s="121" t="str">
        <f>'CUSTO MERCADORIA - IMP. PRÓPRIA'!D37</f>
        <v>3 1/4 x 9</v>
      </c>
      <c r="C87" s="122" t="str">
        <f>'CUSTO MERCADORIA - IMP. PRÓPRIA'!G37</f>
        <v>Clavo con cabeza 19 x 36</v>
      </c>
      <c r="D87" s="122" t="str">
        <f>'CUSTO MERCADORIA - IMP. PRÓPRIA'!F37</f>
        <v>TON</v>
      </c>
      <c r="E87" s="263">
        <f>'CUSTO MERCADORIA - IMP. PRÓPRIA'!E37</f>
        <v>1</v>
      </c>
      <c r="F87" s="123">
        <f>'CUSTO MERCADORIA - IMP. PRÓPRIA'!AV37</f>
        <v>13243.302801348371</v>
      </c>
      <c r="G87" s="123">
        <f t="shared" si="0"/>
        <v>13243.302801348371</v>
      </c>
      <c r="H87" s="124">
        <f>'CUSTO MERCADORIA - IMP. PRÓPRIA'!AY37</f>
        <v>860.81468208764409</v>
      </c>
      <c r="I87" s="124">
        <f>'CUSTO MERCADORIA - IMP. PRÓPRIA'!AZ37</f>
        <v>0</v>
      </c>
      <c r="J87" s="124">
        <f t="shared" si="1"/>
        <v>14104.117483436015</v>
      </c>
      <c r="K87" s="124">
        <f t="shared" si="2"/>
        <v>14104.117483436015</v>
      </c>
      <c r="L87" s="124">
        <f t="shared" si="3"/>
        <v>14.104117483436015</v>
      </c>
    </row>
    <row r="88" spans="1:14" s="1" customFormat="1" ht="21">
      <c r="A88" s="132"/>
      <c r="B88" s="133"/>
      <c r="D88" s="7"/>
      <c r="E88" s="264">
        <f>SUM(E77:E87)</f>
        <v>11</v>
      </c>
      <c r="F88" s="134">
        <f>SUM(F77:F87)</f>
        <v>152297.81169359531</v>
      </c>
      <c r="G88" s="134"/>
      <c r="H88" s="135">
        <f>SUM(H77:H87)</f>
        <v>9899.3577600836961</v>
      </c>
      <c r="I88" s="135">
        <f>SUM(I77:I87)</f>
        <v>0</v>
      </c>
      <c r="J88" s="135">
        <f>SUM(J77:J87)</f>
        <v>162197.16945367897</v>
      </c>
      <c r="K88" s="132"/>
      <c r="L88" s="132"/>
      <c r="M88" s="2"/>
      <c r="N88" s="2"/>
    </row>
    <row r="89" spans="1:14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2" t="s">
        <v>135</v>
      </c>
    </row>
    <row r="90" spans="1:14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2"/>
    </row>
    <row r="91" spans="1:14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</row>
    <row r="92" spans="1:14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</row>
    <row r="93" spans="1:14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</row>
    <row r="94" spans="1:1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</row>
    <row r="95" spans="1:14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</row>
    <row r="96" spans="1:14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</row>
    <row r="97" spans="1:12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</row>
    <row r="98" spans="1:12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</row>
    <row r="99" spans="1:12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</row>
    <row r="100" spans="1:12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</row>
    <row r="101" spans="1:12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</row>
    <row r="102" spans="1:1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</row>
    <row r="103" spans="1:12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</row>
    <row r="104" spans="1:12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</row>
    <row r="105" spans="1:12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</row>
    <row r="106" spans="1:12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</row>
    <row r="107" spans="1:12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</row>
    <row r="108" spans="1:12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</row>
    <row r="109" spans="1:12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</row>
    <row r="110" spans="1:12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</row>
    <row r="111" spans="1:12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</row>
    <row r="112" spans="1:1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</row>
    <row r="113" spans="1:12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</row>
    <row r="114" spans="1:12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</row>
    <row r="115" spans="1:12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</row>
    <row r="116" spans="1:12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</row>
    <row r="117" spans="1:12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</row>
    <row r="118" spans="1:12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</row>
    <row r="119" spans="1:12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</row>
    <row r="120" spans="1:12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</row>
    <row r="121" spans="1:12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</row>
    <row r="122" spans="1:1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</row>
    <row r="123" spans="1:12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</row>
    <row r="124" spans="1:12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</row>
    <row r="125" spans="1:12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</row>
    <row r="126" spans="1:12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</row>
    <row r="127" spans="1:12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</row>
    <row r="128" spans="1:12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</row>
    <row r="129" spans="1:12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</row>
    <row r="130" spans="1:12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</row>
    <row r="131" spans="1:12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</row>
    <row r="132" spans="1:1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</row>
    <row r="133" spans="1:12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</row>
    <row r="134" spans="1:12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</row>
    <row r="135" spans="1:12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</row>
    <row r="136" spans="1:12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</row>
    <row r="137" spans="1:12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</row>
    <row r="138" spans="1:12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</row>
    <row r="139" spans="1:12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</row>
    <row r="140" spans="1:12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</row>
    <row r="141" spans="1:12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</row>
    <row r="142" spans="1:1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</row>
    <row r="143" spans="1:12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</row>
    <row r="144" spans="1:12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</row>
    <row r="145" spans="1:12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</row>
    <row r="146" spans="1:12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</row>
    <row r="147" spans="1:12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</row>
    <row r="148" spans="1:12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</row>
    <row r="149" spans="1:12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</row>
    <row r="150" spans="1:12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</row>
    <row r="151" spans="1:12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</row>
    <row r="152" spans="1:1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</row>
    <row r="153" spans="1:12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</row>
    <row r="154" spans="1:12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</row>
    <row r="155" spans="1:12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</row>
    <row r="156" spans="1:12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</row>
    <row r="157" spans="1:12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</row>
    <row r="158" spans="1:12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</row>
    <row r="159" spans="1:12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</row>
    <row r="160" spans="1:12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</row>
    <row r="161" spans="1:12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</row>
    <row r="162" spans="1:1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</row>
    <row r="163" spans="1:12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</row>
    <row r="164" spans="1:12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</row>
    <row r="165" spans="1:12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</row>
    <row r="166" spans="1:12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</row>
    <row r="167" spans="1:12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</row>
    <row r="168" spans="1:12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</row>
    <row r="169" spans="1:12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</row>
    <row r="170" spans="1:12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</row>
    <row r="171" spans="1:12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</row>
    <row r="172" spans="1:1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</row>
    <row r="173" spans="1:12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</row>
    <row r="174" spans="1:12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</row>
    <row r="175" spans="1:12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</row>
    <row r="176" spans="1:12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</row>
    <row r="177" spans="1:12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</row>
    <row r="178" spans="1:12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</row>
    <row r="179" spans="1:12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</row>
    <row r="180" spans="1:12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</row>
    <row r="181" spans="1:12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</row>
    <row r="182" spans="1:1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</row>
    <row r="183" spans="1:12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</row>
    <row r="184" spans="1:12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</row>
    <row r="185" spans="1:12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</row>
    <row r="186" spans="1:12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</row>
    <row r="187" spans="1:12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</row>
    <row r="188" spans="1:12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</row>
    <row r="189" spans="1:12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</row>
    <row r="190" spans="1:12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</row>
    <row r="191" spans="1:12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</row>
    <row r="192" spans="1:1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</row>
    <row r="193" spans="1:12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</row>
    <row r="194" spans="1:12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</row>
    <row r="195" spans="1:12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</row>
    <row r="196" spans="1:12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</row>
    <row r="197" spans="1:12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</row>
    <row r="198" spans="1:12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</row>
    <row r="199" spans="1:12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</row>
    <row r="200" spans="1:12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</row>
    <row r="201" spans="1:12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</row>
    <row r="202" spans="1:1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</row>
    <row r="203" spans="1:12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</row>
    <row r="204" spans="1:12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</row>
    <row r="205" spans="1:12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</row>
    <row r="206" spans="1:12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</row>
    <row r="207" spans="1:12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</row>
    <row r="208" spans="1:12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</row>
    <row r="209" spans="1:12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</row>
    <row r="210" spans="1:12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</row>
    <row r="211" spans="1:12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</row>
    <row r="212" spans="1: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</row>
    <row r="213" spans="1:12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</row>
    <row r="214" spans="1:12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</row>
    <row r="215" spans="1:12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</row>
    <row r="216" spans="1:12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</row>
    <row r="217" spans="1:12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</row>
    <row r="218" spans="1:12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</row>
    <row r="219" spans="1:12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</row>
    <row r="220" spans="1:12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</row>
    <row r="221" spans="1:12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</row>
    <row r="222" spans="1:1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</row>
    <row r="223" spans="1:12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</row>
    <row r="224" spans="1:12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</row>
    <row r="225" spans="1:12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</row>
    <row r="226" spans="1:12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</row>
    <row r="227" spans="1:12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</row>
    <row r="228" spans="1:12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</row>
    <row r="229" spans="1:12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</row>
    <row r="230" spans="1:12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</row>
    <row r="231" spans="1:12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</row>
    <row r="232" spans="1:1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</row>
    <row r="233" spans="1:12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</row>
    <row r="234" spans="1:12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</row>
    <row r="235" spans="1:12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</row>
    <row r="236" spans="1:12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</row>
    <row r="237" spans="1:12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</row>
    <row r="238" spans="1:12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</row>
    <row r="239" spans="1:12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</row>
    <row r="240" spans="1:12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</row>
    <row r="241" spans="1:12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</row>
    <row r="242" spans="1:1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</row>
    <row r="243" spans="1:12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</row>
    <row r="244" spans="1:12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</row>
    <row r="245" spans="1:12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</row>
    <row r="246" spans="1:12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</row>
    <row r="247" spans="1:12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</row>
    <row r="248" spans="1:12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</row>
    <row r="249" spans="1:12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</row>
    <row r="250" spans="1:12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</row>
    <row r="251" spans="1:12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</row>
    <row r="252" spans="1:1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</row>
    <row r="253" spans="1:12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</row>
    <row r="254" spans="1:12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</row>
    <row r="255" spans="1:12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</row>
    <row r="256" spans="1:12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</row>
    <row r="257" spans="1:12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</row>
    <row r="258" spans="1:12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</row>
    <row r="259" spans="1:12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</row>
    <row r="260" spans="1:12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</row>
    <row r="261" spans="1:12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</row>
    <row r="262" spans="1:1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</row>
    <row r="263" spans="1:12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</row>
    <row r="264" spans="1:12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</row>
    <row r="265" spans="1:12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</row>
    <row r="266" spans="1:12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</row>
    <row r="267" spans="1:12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</row>
    <row r="268" spans="1:12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</row>
    <row r="269" spans="1:12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</row>
    <row r="270" spans="1:12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</row>
    <row r="271" spans="1:12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</row>
    <row r="272" spans="1:1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</row>
    <row r="273" spans="1:12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</row>
    <row r="274" spans="1:12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</row>
    <row r="275" spans="1:12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</row>
    <row r="276" spans="1:12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</row>
    <row r="277" spans="1:12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</row>
    <row r="278" spans="1:12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</row>
    <row r="279" spans="1:12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</row>
    <row r="280" spans="1:12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</row>
    <row r="281" spans="1:12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</row>
    <row r="282" spans="1:1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</row>
    <row r="283" spans="1:12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</row>
    <row r="284" spans="1:12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</row>
    <row r="285" spans="1:12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</row>
    <row r="286" spans="1:12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</row>
    <row r="287" spans="1:12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</row>
    <row r="288" spans="1:12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</row>
    <row r="289" spans="1:12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</row>
    <row r="290" spans="1:12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</row>
    <row r="291" spans="1:12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</row>
    <row r="292" spans="1:1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</row>
    <row r="293" spans="1:12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</row>
    <row r="294" spans="1:12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</row>
    <row r="295" spans="1:12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</row>
    <row r="296" spans="1:12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</row>
    <row r="297" spans="1:12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</row>
    <row r="298" spans="1:12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</row>
    <row r="299" spans="1:12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</row>
    <row r="300" spans="1:12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</row>
    <row r="301" spans="1:12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</row>
    <row r="302" spans="1:1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</row>
    <row r="303" spans="1:12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</row>
    <row r="304" spans="1:12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</row>
    <row r="305" spans="1:12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</row>
    <row r="306" spans="1:12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</row>
    <row r="307" spans="1:12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</row>
    <row r="308" spans="1:12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</row>
    <row r="309" spans="1:12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</row>
    <row r="310" spans="1:12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</row>
    <row r="311" spans="1:12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</row>
    <row r="312" spans="1: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</row>
    <row r="313" spans="1:12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</row>
    <row r="314" spans="1:12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</row>
    <row r="315" spans="1:12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</row>
    <row r="316" spans="1:12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</row>
    <row r="317" spans="1:12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</row>
    <row r="318" spans="1:12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</row>
    <row r="319" spans="1:12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</row>
    <row r="320" spans="1:12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</row>
    <row r="321" spans="1:12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</row>
    <row r="322" spans="1:1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</row>
    <row r="323" spans="1:12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</row>
    <row r="324" spans="1:12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</row>
    <row r="325" spans="1:12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</row>
    <row r="326" spans="1:12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</row>
    <row r="327" spans="1:12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</row>
    <row r="328" spans="1:12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</row>
    <row r="329" spans="1:12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</row>
    <row r="330" spans="1:12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</row>
    <row r="331" spans="1:12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</row>
    <row r="332" spans="1:1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</row>
    <row r="333" spans="1:12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</row>
    <row r="334" spans="1:12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</row>
    <row r="335" spans="1:12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</row>
    <row r="336" spans="1:12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</row>
    <row r="337" spans="1:12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</row>
    <row r="338" spans="1:12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</row>
    <row r="339" spans="1:12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</row>
    <row r="340" spans="1:12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</row>
    <row r="341" spans="1:12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</row>
    <row r="342" spans="1:1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</row>
    <row r="343" spans="1:12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</row>
    <row r="344" spans="1:12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</row>
    <row r="345" spans="1:12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</row>
    <row r="346" spans="1:12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</row>
    <row r="347" spans="1:12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</row>
    <row r="348" spans="1:12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</row>
    <row r="349" spans="1:12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</row>
    <row r="350" spans="1:12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</row>
    <row r="351" spans="1:12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</row>
    <row r="352" spans="1:1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</row>
    <row r="353" spans="1:12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</row>
    <row r="354" spans="1:12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</row>
    <row r="355" spans="1:12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</row>
    <row r="356" spans="1:12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</row>
    <row r="357" spans="1:12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</row>
    <row r="358" spans="1:12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</row>
    <row r="359" spans="1:12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</row>
    <row r="360" spans="1:12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</row>
    <row r="361" spans="1:12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</row>
    <row r="362" spans="1:1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</row>
    <row r="363" spans="1:12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</row>
    <row r="364" spans="1:12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</row>
    <row r="365" spans="1:12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</row>
    <row r="366" spans="1:12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</row>
    <row r="367" spans="1:12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</row>
    <row r="368" spans="1:12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</row>
    <row r="369" spans="1:12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</row>
    <row r="370" spans="1:12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</row>
    <row r="371" spans="1:12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</row>
    <row r="372" spans="1:1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</row>
    <row r="373" spans="1:12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</row>
    <row r="374" spans="1:12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</row>
    <row r="375" spans="1:12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</row>
    <row r="376" spans="1:12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</row>
    <row r="377" spans="1:12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</row>
    <row r="378" spans="1:12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</row>
    <row r="379" spans="1:12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</row>
    <row r="380" spans="1:12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</row>
    <row r="381" spans="1:12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</row>
    <row r="382" spans="1:1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</row>
    <row r="383" spans="1:12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</row>
    <row r="384" spans="1:12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</row>
    <row r="385" spans="1:12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</row>
    <row r="386" spans="1:12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</row>
    <row r="387" spans="1:12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</row>
    <row r="388" spans="1:12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</row>
    <row r="389" spans="1:12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</row>
    <row r="390" spans="1:12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</row>
    <row r="391" spans="1:12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</row>
    <row r="392" spans="1:1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</row>
    <row r="393" spans="1:12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</row>
    <row r="394" spans="1:12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</row>
    <row r="395" spans="1:12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</row>
    <row r="396" spans="1:12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</row>
    <row r="397" spans="1:12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</row>
    <row r="398" spans="1:12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</row>
    <row r="399" spans="1:12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</row>
    <row r="400" spans="1:12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</row>
    <row r="401" spans="1:12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</row>
    <row r="402" spans="1:1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</row>
    <row r="403" spans="1:12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</row>
    <row r="404" spans="1:12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</row>
    <row r="405" spans="1:12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</row>
    <row r="406" spans="1:12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</row>
    <row r="407" spans="1:12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</row>
    <row r="408" spans="1:12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</row>
    <row r="409" spans="1:12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</row>
    <row r="410" spans="1:12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</row>
    <row r="411" spans="1:12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</row>
    <row r="412" spans="1: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</row>
    <row r="413" spans="1:12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</row>
    <row r="414" spans="1:12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</row>
    <row r="415" spans="1:12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</row>
    <row r="416" spans="1:12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</row>
    <row r="417" spans="1:12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</row>
    <row r="418" spans="1:12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</row>
    <row r="419" spans="1:12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</row>
    <row r="420" spans="1:12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</row>
    <row r="421" spans="1:12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</row>
    <row r="422" spans="1:1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</row>
    <row r="423" spans="1:12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</row>
    <row r="424" spans="1:12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</row>
    <row r="425" spans="1:12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</row>
    <row r="426" spans="1:12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</row>
    <row r="427" spans="1:12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</row>
    <row r="428" spans="1:12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</row>
    <row r="429" spans="1:12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</row>
    <row r="430" spans="1:12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</row>
    <row r="431" spans="1:12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</row>
    <row r="432" spans="1:1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</row>
    <row r="433" spans="1:12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</row>
    <row r="434" spans="1:12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</row>
    <row r="435" spans="1:12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</row>
    <row r="436" spans="1:12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</row>
    <row r="437" spans="1:12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</row>
    <row r="438" spans="1:12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</row>
    <row r="439" spans="1:12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</row>
    <row r="440" spans="1:12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</row>
    <row r="441" spans="1:12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</row>
    <row r="442" spans="1:1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</row>
    <row r="443" spans="1:12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</row>
    <row r="444" spans="1:12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</row>
    <row r="445" spans="1:12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</row>
    <row r="446" spans="1:12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</row>
    <row r="447" spans="1:12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</row>
    <row r="448" spans="1:12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</row>
    <row r="449" spans="1:12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</row>
    <row r="450" spans="1:12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</row>
    <row r="451" spans="1:12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</row>
    <row r="452" spans="1:1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</row>
    <row r="453" spans="1:12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</row>
    <row r="454" spans="1:12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</row>
    <row r="455" spans="1:12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</row>
    <row r="456" spans="1:12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</row>
    <row r="457" spans="1:12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</row>
    <row r="458" spans="1:12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</row>
    <row r="459" spans="1:12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</row>
    <row r="460" spans="1:12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</row>
    <row r="461" spans="1:12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</row>
    <row r="462" spans="1:1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</row>
    <row r="463" spans="1:12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</row>
    <row r="464" spans="1:12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</row>
    <row r="465" spans="1:12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</row>
    <row r="466" spans="1:12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</row>
    <row r="467" spans="1:12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</row>
    <row r="468" spans="1:12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</row>
    <row r="469" spans="1:12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</row>
    <row r="470" spans="1:12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</row>
    <row r="471" spans="1:12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</row>
    <row r="472" spans="1:1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</row>
    <row r="473" spans="1:12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</row>
    <row r="474" spans="1:12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</row>
    <row r="475" spans="1:12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</row>
    <row r="476" spans="1:12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</row>
    <row r="477" spans="1:12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</row>
    <row r="478" spans="1:12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</row>
    <row r="479" spans="1:12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</row>
    <row r="480" spans="1:12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</row>
    <row r="481" spans="1:12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</row>
    <row r="482" spans="1:1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</row>
    <row r="483" spans="1:12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</row>
    <row r="484" spans="1:12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</row>
    <row r="485" spans="1:12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</row>
    <row r="486" spans="1:12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</row>
    <row r="487" spans="1:12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</row>
    <row r="488" spans="1:12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</row>
    <row r="489" spans="1:12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</row>
    <row r="490" spans="1:12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</row>
    <row r="491" spans="1:12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</row>
    <row r="492" spans="1:1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</row>
    <row r="493" spans="1:12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</row>
    <row r="494" spans="1:12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</row>
    <row r="495" spans="1:12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</row>
    <row r="496" spans="1:12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</row>
    <row r="497" spans="1:12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</row>
    <row r="498" spans="1:12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</row>
    <row r="499" spans="1:12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</row>
    <row r="500" spans="1:12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</row>
    <row r="501" spans="1:12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</row>
    <row r="502" spans="1:1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</row>
    <row r="503" spans="1:12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</row>
    <row r="504" spans="1:12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</row>
    <row r="505" spans="1:12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</row>
    <row r="506" spans="1:12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</row>
    <row r="507" spans="1:12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</row>
    <row r="508" spans="1:12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</row>
    <row r="509" spans="1:12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</row>
    <row r="510" spans="1:12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</row>
    <row r="511" spans="1:12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</row>
    <row r="512" spans="1: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</row>
    <row r="513" spans="1:12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</row>
    <row r="514" spans="1:12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</row>
    <row r="515" spans="1:12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</row>
    <row r="516" spans="1:12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</row>
    <row r="517" spans="1:12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</row>
    <row r="518" spans="1:12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</row>
    <row r="519" spans="1:12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</row>
    <row r="520" spans="1:12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</row>
    <row r="521" spans="1:12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</row>
    <row r="522" spans="1:1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</row>
    <row r="523" spans="1:12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</row>
    <row r="524" spans="1:12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</row>
    <row r="525" spans="1:12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</row>
    <row r="526" spans="1:12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</row>
    <row r="527" spans="1:12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</row>
    <row r="528" spans="1:12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</row>
    <row r="529" spans="1:12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</row>
    <row r="530" spans="1:12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</row>
    <row r="531" spans="1:12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</row>
    <row r="532" spans="1:1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</row>
    <row r="533" spans="1:12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</row>
    <row r="534" spans="1:12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</row>
    <row r="535" spans="1:12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</row>
    <row r="536" spans="1:12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</row>
    <row r="537" spans="1:12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</row>
    <row r="538" spans="1:12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</row>
    <row r="539" spans="1:12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</row>
    <row r="540" spans="1:12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</row>
    <row r="541" spans="1:12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</row>
    <row r="542" spans="1:1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</row>
    <row r="543" spans="1:12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</row>
    <row r="544" spans="1:12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</row>
    <row r="545" spans="1:12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</row>
    <row r="546" spans="1:12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</row>
    <row r="547" spans="1:12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</row>
    <row r="548" spans="1:12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</row>
    <row r="549" spans="1:12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</row>
    <row r="550" spans="1:12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</row>
    <row r="551" spans="1:12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</row>
    <row r="552" spans="1:1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</row>
    <row r="553" spans="1:12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</row>
    <row r="554" spans="1:12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</row>
    <row r="555" spans="1:12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</row>
    <row r="556" spans="1:12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</row>
    <row r="557" spans="1:12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</row>
    <row r="558" spans="1:12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</row>
    <row r="559" spans="1:12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</row>
    <row r="560" spans="1:12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</row>
    <row r="561" spans="1:12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</row>
    <row r="562" spans="1:1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</row>
    <row r="563" spans="1:12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</row>
    <row r="564" spans="1:12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</row>
    <row r="565" spans="1:12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</row>
    <row r="566" spans="1:12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</row>
    <row r="567" spans="1:12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</row>
    <row r="568" spans="1:12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</row>
    <row r="569" spans="1:12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</row>
    <row r="570" spans="1:12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</row>
    <row r="571" spans="1:12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</row>
    <row r="572" spans="1:1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</row>
    <row r="573" spans="1:12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</row>
    <row r="574" spans="1:12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</row>
    <row r="575" spans="1:12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</row>
    <row r="576" spans="1:12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</row>
    <row r="577" spans="1:12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</row>
    <row r="578" spans="1:12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</row>
    <row r="579" spans="1:12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</row>
    <row r="580" spans="1:12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</row>
    <row r="581" spans="1:12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</row>
    <row r="582" spans="1:1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</row>
    <row r="583" spans="1:12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</row>
    <row r="584" spans="1:12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</row>
    <row r="585" spans="1:12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</row>
    <row r="586" spans="1:12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</row>
    <row r="587" spans="1:12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</row>
    <row r="588" spans="1:12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</row>
    <row r="589" spans="1:12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</row>
    <row r="590" spans="1:12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</row>
    <row r="591" spans="1:12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</row>
    <row r="592" spans="1:1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</row>
    <row r="593" spans="1:12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</row>
    <row r="594" spans="1:12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</row>
    <row r="595" spans="1:12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</row>
    <row r="596" spans="1:12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</row>
    <row r="597" spans="1:12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</row>
    <row r="598" spans="1:12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</row>
    <row r="599" spans="1:12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</row>
    <row r="600" spans="1:12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</row>
    <row r="601" spans="1:12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</row>
    <row r="602" spans="1:1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</row>
    <row r="603" spans="1:12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</row>
    <row r="604" spans="1:12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</row>
    <row r="605" spans="1:12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</row>
    <row r="606" spans="1:12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</row>
    <row r="607" spans="1:12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</row>
    <row r="608" spans="1:12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</row>
    <row r="609" spans="1:12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</row>
    <row r="610" spans="1:12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</row>
    <row r="611" spans="1:12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</row>
    <row r="612" spans="1: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</row>
    <row r="613" spans="1:12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</row>
    <row r="614" spans="1:12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</row>
    <row r="615" spans="1:12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</row>
    <row r="616" spans="1:12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</row>
    <row r="617" spans="1:12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</row>
    <row r="618" spans="1:12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</row>
    <row r="619" spans="1:12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</row>
    <row r="620" spans="1:12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</row>
    <row r="621" spans="1:12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</row>
    <row r="622" spans="1:1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</row>
    <row r="623" spans="1:12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</row>
    <row r="624" spans="1:12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</row>
    <row r="625" spans="1:12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</row>
    <row r="626" spans="1:12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</row>
    <row r="627" spans="1:12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</row>
    <row r="628" spans="1:12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</row>
    <row r="629" spans="1:12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</row>
    <row r="630" spans="1:12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</row>
    <row r="631" spans="1:12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</row>
    <row r="632" spans="1:1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</row>
    <row r="633" spans="1:12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</row>
    <row r="634" spans="1:12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</row>
    <row r="635" spans="1:12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</row>
    <row r="636" spans="1:12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</row>
    <row r="637" spans="1:12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</row>
    <row r="638" spans="1:12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</row>
    <row r="639" spans="1:12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</row>
    <row r="640" spans="1:12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</row>
    <row r="641" spans="1:12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</row>
    <row r="642" spans="1:1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</row>
    <row r="643" spans="1:12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</row>
    <row r="644" spans="1:12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</row>
    <row r="645" spans="1:12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</row>
    <row r="646" spans="1:12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</row>
    <row r="647" spans="1:12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</row>
    <row r="648" spans="1:12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</row>
    <row r="649" spans="1:12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</row>
    <row r="650" spans="1:12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</row>
    <row r="651" spans="1:12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</row>
    <row r="652" spans="1:1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</row>
    <row r="653" spans="1:12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</row>
    <row r="654" spans="1:12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</row>
    <row r="655" spans="1:12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</row>
    <row r="656" spans="1:12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</row>
    <row r="657" spans="1:12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</row>
    <row r="658" spans="1:12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</row>
    <row r="659" spans="1:12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</row>
    <row r="660" spans="1:12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</row>
    <row r="661" spans="1:12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</row>
    <row r="662" spans="1:1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</row>
    <row r="663" spans="1:12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</row>
    <row r="664" spans="1:12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</row>
    <row r="665" spans="1:12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</row>
    <row r="666" spans="1:12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</row>
    <row r="667" spans="1:12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</row>
    <row r="668" spans="1:12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</row>
    <row r="669" spans="1:12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</row>
    <row r="670" spans="1:12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</row>
    <row r="671" spans="1:12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</row>
    <row r="672" spans="1:1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</row>
    <row r="673" spans="1:12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</row>
    <row r="674" spans="1:12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</row>
    <row r="675" spans="1:12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</row>
    <row r="676" spans="1:12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</row>
    <row r="677" spans="1:12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</row>
    <row r="678" spans="1:12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</row>
    <row r="679" spans="1:12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</row>
    <row r="680" spans="1:12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</row>
    <row r="681" spans="1:12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</row>
    <row r="682" spans="1:1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</row>
    <row r="683" spans="1:12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</row>
    <row r="684" spans="1:12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</row>
    <row r="685" spans="1:12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</row>
    <row r="686" spans="1:12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</row>
    <row r="687" spans="1:12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</row>
    <row r="688" spans="1:12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</row>
    <row r="689" spans="1:12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</row>
    <row r="690" spans="1:12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</row>
    <row r="691" spans="1:12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</row>
    <row r="692" spans="1:1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</row>
    <row r="693" spans="1:12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</row>
    <row r="694" spans="1:12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</row>
    <row r="695" spans="1:12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</row>
    <row r="696" spans="1:12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</row>
    <row r="697" spans="1:12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</row>
    <row r="698" spans="1:12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</row>
    <row r="699" spans="1:12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</row>
    <row r="700" spans="1:12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</row>
    <row r="701" spans="1:12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</row>
    <row r="702" spans="1:1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</row>
    <row r="703" spans="1:12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</row>
    <row r="704" spans="1:12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</row>
    <row r="705" spans="1:12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</row>
    <row r="706" spans="1:12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</row>
    <row r="707" spans="1:12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</row>
    <row r="708" spans="1:12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</row>
    <row r="709" spans="1:12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</row>
    <row r="710" spans="1:12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</row>
    <row r="711" spans="1:12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</row>
    <row r="712" spans="1: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</row>
    <row r="713" spans="1:12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</row>
    <row r="714" spans="1:12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</row>
    <row r="715" spans="1:12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</row>
    <row r="716" spans="1:12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</row>
    <row r="717" spans="1:12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</row>
    <row r="718" spans="1:12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</row>
    <row r="719" spans="1:12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</row>
    <row r="720" spans="1:12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</row>
    <row r="721" spans="1:12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</row>
    <row r="722" spans="1:1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</row>
    <row r="723" spans="1:12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</row>
    <row r="724" spans="1:12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</row>
    <row r="725" spans="1:12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</row>
    <row r="726" spans="1:12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</row>
    <row r="727" spans="1:12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</row>
    <row r="728" spans="1:12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</row>
    <row r="729" spans="1:12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</row>
    <row r="730" spans="1:12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</row>
    <row r="731" spans="1:12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</row>
    <row r="732" spans="1:1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</row>
    <row r="733" spans="1:12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</row>
    <row r="734" spans="1:12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</row>
    <row r="735" spans="1:12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</row>
    <row r="736" spans="1:12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</row>
    <row r="737" spans="1:12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</row>
    <row r="738" spans="1:12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</row>
    <row r="739" spans="1:12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</row>
    <row r="740" spans="1:12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</row>
    <row r="741" spans="1:12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</row>
    <row r="742" spans="1:1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</row>
    <row r="743" spans="1:12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</row>
    <row r="744" spans="1:12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</row>
    <row r="745" spans="1:12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</row>
    <row r="746" spans="1:12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</row>
    <row r="747" spans="1:12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</row>
    <row r="748" spans="1:12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</row>
    <row r="749" spans="1:12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</row>
    <row r="750" spans="1:12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</row>
    <row r="751" spans="1:12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</row>
    <row r="752" spans="1:1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</row>
    <row r="753" spans="1:12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</row>
    <row r="754" spans="1:12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</row>
    <row r="755" spans="1:12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</row>
    <row r="756" spans="1:12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</row>
    <row r="757" spans="1:12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</row>
    <row r="758" spans="1:12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</row>
    <row r="759" spans="1:12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</row>
    <row r="760" spans="1:12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</row>
    <row r="761" spans="1:12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</row>
    <row r="762" spans="1:1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</row>
    <row r="763" spans="1:12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</row>
    <row r="764" spans="1:12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</row>
    <row r="765" spans="1:12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</row>
    <row r="766" spans="1:12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</row>
    <row r="767" spans="1:12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</row>
    <row r="768" spans="1:12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</row>
    <row r="769" spans="1:12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</row>
    <row r="770" spans="1:12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</row>
    <row r="771" spans="1:12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</row>
    <row r="772" spans="1:1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</row>
    <row r="773" spans="1:12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</row>
    <row r="774" spans="1:12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</row>
    <row r="775" spans="1:12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</row>
    <row r="776" spans="1:12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</row>
    <row r="777" spans="1:12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</row>
    <row r="778" spans="1:12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</row>
    <row r="779" spans="1:12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</row>
    <row r="780" spans="1:12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</row>
    <row r="781" spans="1:12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</row>
    <row r="782" spans="1:1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</row>
    <row r="783" spans="1:12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</row>
    <row r="784" spans="1:12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</row>
    <row r="785" spans="1:12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</row>
    <row r="786" spans="1:12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</row>
    <row r="787" spans="1:12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</row>
    <row r="788" spans="1:12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</row>
    <row r="789" spans="1:12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</row>
    <row r="790" spans="1:12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</row>
    <row r="791" spans="1:12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</row>
    <row r="792" spans="1:1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</row>
    <row r="793" spans="1:12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</row>
    <row r="794" spans="1:12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</row>
    <row r="795" spans="1:12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</row>
    <row r="796" spans="1:12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</row>
    <row r="797" spans="1:12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</row>
    <row r="798" spans="1:12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</row>
    <row r="799" spans="1:12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</row>
    <row r="800" spans="1:12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</row>
    <row r="801" spans="1:12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</row>
    <row r="802" spans="1:1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</row>
    <row r="803" spans="1:12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</row>
    <row r="804" spans="1:12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</row>
    <row r="805" spans="1:12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</row>
    <row r="806" spans="1:12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</row>
    <row r="807" spans="1:12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</row>
    <row r="808" spans="1:12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</row>
    <row r="809" spans="1:12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</row>
    <row r="810" spans="1:12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</row>
    <row r="811" spans="1:12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</row>
    <row r="812" spans="1: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</row>
    <row r="813" spans="1:12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</row>
    <row r="814" spans="1:12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</row>
    <row r="815" spans="1:12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</row>
    <row r="816" spans="1:12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</row>
    <row r="817" spans="1:12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</row>
    <row r="818" spans="1:12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</row>
    <row r="819" spans="1:12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</row>
    <row r="820" spans="1:12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</row>
    <row r="821" spans="1:12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</row>
    <row r="822" spans="1:1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</row>
    <row r="823" spans="1:12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</row>
    <row r="824" spans="1:12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</row>
    <row r="825" spans="1:12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</row>
    <row r="826" spans="1:12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</row>
    <row r="827" spans="1:12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</row>
    <row r="828" spans="1:12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</row>
    <row r="829" spans="1:12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</row>
    <row r="830" spans="1:12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</row>
    <row r="831" spans="1:12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</row>
    <row r="832" spans="1:1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</row>
    <row r="833" spans="1:12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</row>
    <row r="834" spans="1:12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</row>
    <row r="835" spans="1:12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</row>
    <row r="836" spans="1:12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</row>
    <row r="837" spans="1:12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</row>
    <row r="838" spans="1:12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</row>
    <row r="839" spans="1:12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</row>
    <row r="840" spans="1:12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</row>
    <row r="841" spans="1:12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</row>
    <row r="842" spans="1:1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</row>
    <row r="843" spans="1:12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</row>
    <row r="844" spans="1:12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</row>
    <row r="845" spans="1:12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</row>
    <row r="846" spans="1:12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</row>
    <row r="847" spans="1:12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</row>
    <row r="848" spans="1:12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</row>
    <row r="849" spans="1:12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</row>
    <row r="850" spans="1:12">
      <c r="A850" s="81"/>
      <c r="I850" s="81"/>
      <c r="J850" s="81"/>
      <c r="K850" s="81"/>
    </row>
  </sheetData>
  <mergeCells count="13">
    <mergeCell ref="N62:O62"/>
    <mergeCell ref="C8:H8"/>
    <mergeCell ref="E9:F9"/>
    <mergeCell ref="G9:H9"/>
    <mergeCell ref="C10:H10"/>
    <mergeCell ref="C13:H13"/>
    <mergeCell ref="B75:L75"/>
    <mergeCell ref="B2:H5"/>
    <mergeCell ref="B63:D63"/>
    <mergeCell ref="E15:G15"/>
    <mergeCell ref="E16:G16"/>
    <mergeCell ref="B62:H62"/>
    <mergeCell ref="I62:K62"/>
  </mergeCells>
  <conditionalFormatting sqref="B2:B4">
    <cfRule type="containsText" dxfId="19" priority="35" operator="containsText" text="FINALIZAÇÃO">
      <formula>NOT(ISERROR(SEARCH("FINALIZAÇÃO",B2)))</formula>
    </cfRule>
  </conditionalFormatting>
  <conditionalFormatting sqref="C55:G58">
    <cfRule type="cellIs" dxfId="18" priority="36" operator="equal">
      <formula>" 00 - AAAAAAAA"</formula>
    </cfRule>
    <cfRule type="cellIs" dxfId="17" priority="37" operator="equal">
      <formula>"00 - AAAAAAAA"</formula>
    </cfRule>
  </conditionalFormatting>
  <conditionalFormatting sqref="F9">
    <cfRule type="cellIs" dxfId="16" priority="31" operator="equal">
      <formula>0</formula>
    </cfRule>
    <cfRule type="cellIs" dxfId="15" priority="32" operator="equal">
      <formula>"000.00.00"</formula>
    </cfRule>
  </conditionalFormatting>
  <conditionalFormatting sqref="F41:F42">
    <cfRule type="cellIs" dxfId="14" priority="41" operator="equal">
      <formula>0</formula>
    </cfRule>
  </conditionalFormatting>
  <conditionalFormatting sqref="F11:H12">
    <cfRule type="cellIs" dxfId="13" priority="21" operator="equal">
      <formula>0</formula>
    </cfRule>
    <cfRule type="cellIs" dxfId="12" priority="22" operator="equal">
      <formula>"000.00.00"</formula>
    </cfRule>
  </conditionalFormatting>
  <conditionalFormatting sqref="G1">
    <cfRule type="cellIs" dxfId="11" priority="42" operator="equal">
      <formula>0</formula>
    </cfRule>
  </conditionalFormatting>
  <conditionalFormatting sqref="G9">
    <cfRule type="cellIs" dxfId="10" priority="33" operator="equal">
      <formula>0</formula>
    </cfRule>
  </conditionalFormatting>
  <conditionalFormatting sqref="G23">
    <cfRule type="cellIs" dxfId="9" priority="23" operator="equal">
      <formula>0</formula>
    </cfRule>
    <cfRule type="cellIs" dxfId="8" priority="24" operator="equal">
      <formula>"000.00.00"</formula>
    </cfRule>
  </conditionalFormatting>
  <conditionalFormatting sqref="G25:G30">
    <cfRule type="cellIs" dxfId="7" priority="29" operator="equal">
      <formula>0</formula>
    </cfRule>
  </conditionalFormatting>
  <conditionalFormatting sqref="G25:G31">
    <cfRule type="cellIs" dxfId="6" priority="30" operator="equal">
      <formula>"000.00.00"</formula>
    </cfRule>
  </conditionalFormatting>
  <conditionalFormatting sqref="G32">
    <cfRule type="cellIs" dxfId="5" priority="27" operator="equal">
      <formula>0</formula>
    </cfRule>
    <cfRule type="cellIs" dxfId="4" priority="28" operator="equal">
      <formula>"000.00.00"</formula>
    </cfRule>
  </conditionalFormatting>
  <conditionalFormatting sqref="H6">
    <cfRule type="cellIs" dxfId="3" priority="25" operator="equal">
      <formula>0</formula>
    </cfRule>
    <cfRule type="cellIs" dxfId="2" priority="26" operator="equal">
      <formula>"000.00.00"</formula>
    </cfRule>
  </conditionalFormatting>
  <conditionalFormatting sqref="H48:H49">
    <cfRule type="cellIs" dxfId="1" priority="9" operator="equal">
      <formula>0</formula>
    </cfRule>
  </conditionalFormatting>
  <conditionalFormatting sqref="H54">
    <cfRule type="cellIs" dxfId="0" priority="7" operator="equal">
      <formula>0</formula>
    </cfRule>
  </conditionalFormatting>
  <dataValidations disablePrompts="1" count="1">
    <dataValidation type="list" allowBlank="1" showErrorMessage="1" sqref="F25:F30 F34:F39 F55:F58" xr:uid="{00000000-0002-0000-0200-000000000000}">
      <formula1>"0,Importador,WSI"</formula1>
    </dataValidation>
  </dataValidations>
  <pageMargins left="0.25" right="0.25" top="0.75" bottom="0.75" header="0.3" footer="0.3"/>
  <pageSetup scale="22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INVOICE</vt:lpstr>
      <vt:lpstr>CUSTO MERCADORIA - IMP. PRÓPRIA</vt:lpstr>
      <vt:lpstr>EST. DE CUSTO - IMP. PRÓPRIA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Matheus Moreira</cp:lastModifiedBy>
  <cp:lastPrinted>2025-11-19T18:30:29Z</cp:lastPrinted>
  <dcterms:created xsi:type="dcterms:W3CDTF">2022-03-03T02:03:00Z</dcterms:created>
  <dcterms:modified xsi:type="dcterms:W3CDTF">2025-12-12T21:16:11Z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F282A85DAC1447C182FECC37C0F893DB_12</vt:lpwstr>
  </property>
  <property fmtid="{D5CDD505-2E9C-101B-9397-08002B2CF9AE}" pid="3" name="KSOProductBuildVer">
    <vt:lpwstr>1046-12.2.0.23155</vt:lpwstr>
  </property>
</Properties>
</file>